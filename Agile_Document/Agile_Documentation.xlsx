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ree\Downloads\"/>
    </mc:Choice>
  </mc:AlternateContent>
  <bookViews>
    <workbookView xWindow="0" yWindow="0" windowWidth="15270" windowHeight="5025"/>
  </bookViews>
  <sheets>
    <sheet name="Product Backlog" sheetId="1" r:id="rId1"/>
    <sheet name="Sprint Backlog" sheetId="2" r:id="rId2"/>
    <sheet name="Stand up Meeting" sheetId="3" r:id="rId3"/>
    <sheet name="Retrospection" sheetId="4" r:id="rId4"/>
    <sheet name="Defect Tracker" sheetId="5" r:id="rId5"/>
    <sheet name="Unit Test Plan" sheetId="6" r:id="rId6"/>
  </sheets>
  <definedNames>
    <definedName name="_xlnm.Print_Titles" localSheetId="4">'Defect Tracker'!$1:$1</definedName>
    <definedName name="_xlnm.Print_Titles" localSheetId="0">'Product Backlog'!$1:$1</definedName>
    <definedName name="_xlnm.Print_Titles" localSheetId="3">Retrospection!$1:$1</definedName>
    <definedName name="_xlnm.Print_Titles" localSheetId="1">'Sprint Backlog'!$1:$1</definedName>
    <definedName name="_xlnm.Print_Titles" localSheetId="2">'Stand up Meeting'!$1:$1</definedName>
    <definedName name="_xlnm.Print_Titles" localSheetId="5">'Unit Test Plan'!$1:$1</definedName>
  </definedNames>
  <calcPr calcId="162913"/>
</workbook>
</file>

<file path=xl/calcChain.xml><?xml version="1.0" encoding="utf-8"?>
<calcChain xmlns="http://schemas.openxmlformats.org/spreadsheetml/2006/main">
  <c r="BI20" i="2" l="1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</calcChain>
</file>

<file path=xl/sharedStrings.xml><?xml version="1.0" encoding="utf-8"?>
<sst xmlns="http://schemas.openxmlformats.org/spreadsheetml/2006/main" count="625" uniqueCount="369">
  <si>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</si>
  <si>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</si>
  <si>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</si>
  <si>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</si>
  <si>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</si>
  <si>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</si>
  <si>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</si>
  <si>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</si>
  <si>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Milestone 1</t>
  </si>
  <si>
    <t>US-01</t>
  </si>
  <si>
    <t>As a user, I want to submit a question, an AI-generated response, and an optional reference answer, so that the response can be evaluated.</t>
  </si>
  <si>
    <t>Must</t>
  </si>
  <si>
    <t>None</t>
  </si>
  <si>
    <t>Completed</t>
  </si>
  <si>
    <t>US-02</t>
  </si>
  <si>
    <t>As a system, I want to build a RAG knowledge base from reference datasets so that evaluations are grounded in retrieved context.</t>
  </si>
  <si>
    <t>US-03</t>
  </si>
  <si>
    <t>As a developer, I want a defined multi-agent architecture, scoring model, and orchestration flow so that the evaluation pipeline has a clear design.</t>
  </si>
  <si>
    <t>Milestone 2</t>
  </si>
  <si>
    <t>US-04</t>
  </si>
  <si>
    <t>As a user, I want a Relevance Agent to score how directly a response addresses the question, with reasoning.</t>
  </si>
  <si>
    <t>US-01, US-02</t>
  </si>
  <si>
    <t>US-05</t>
  </si>
  <si>
    <t>As a user, I want an Accuracy Agent to verify factual correctness using the reference answer or retrieved evidence.</t>
  </si>
  <si>
    <t>US-06</t>
  </si>
  <si>
    <t>As a user, I want a Hallucination Detection Agent to flag unsupported or fabricated claims in a response.</t>
  </si>
  <si>
    <t>US-02, US-05</t>
  </si>
  <si>
    <t>Milestone 3</t>
  </si>
  <si>
    <t>US-07</t>
  </si>
  <si>
    <t>As a user, I want a Completeness Agent to identify aspects of the question that were left unanswered.</t>
  </si>
  <si>
    <t>Evaluation pipeline</t>
  </si>
  <si>
    <t>US-08</t>
  </si>
  <si>
    <t>As a user, I want a Verdict Agent to combine the four dimension scores into a Pass, Needs Improvement, or Fail outcome using weighted scoring.</t>
  </si>
  <si>
    <t>US-04 to US-07</t>
  </si>
  <si>
    <t>US-09</t>
  </si>
  <si>
    <t>As a user, I want a results interface that shows per-dimension scores, reasoning, and the final verdict.</t>
  </si>
  <si>
    <t>US-04 to US-08</t>
  </si>
  <si>
    <t>US-10</t>
  </si>
  <si>
    <t>As a user, I want to upload a CSV of multiple question-response pairs and evaluate them in a single batch run.</t>
  </si>
  <si>
    <t>Milestone 4</t>
  </si>
  <si>
    <t>US-11</t>
  </si>
  <si>
    <t>As a user, I want a dashboard with filters and charts summarizing batch evaluation quality.</t>
  </si>
  <si>
    <t>US-12</t>
  </si>
  <si>
    <t>As a user, I want to export batch evaluation results as a PDF report.</t>
  </si>
  <si>
    <t>US-10, US-11</t>
  </si>
  <si>
    <t>US-13</t>
  </si>
  <si>
    <t>As a developer, I want an automated test suite covering single and batch evaluation workflows end to end.</t>
  </si>
  <si>
    <t>All modules</t>
  </si>
  <si>
    <t>US-14</t>
  </si>
  <si>
    <t>As a stakeholder, I want a project report and technical documentation describing the finished system.</t>
  </si>
  <si>
    <t>Should</t>
  </si>
  <si>
    <t>Completed system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</si>
  <si>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</si>
  <si>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</si>
  <si>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</si>
  <si>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</si>
  <si>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</si>
  <si>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</si>
  <si>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</si>
  <si>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</si>
  <si>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</si>
  <si>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</si>
  <si>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</si>
  <si>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</si>
  <si>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</si>
  <si>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</si>
  <si>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</si>
  <si>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</si>
  <si>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</si>
  <si>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</si>
  <si>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</si>
  <si>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</si>
  <si>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</si>
  <si>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</si>
  <si>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</si>
  <si>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</si>
  <si>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</si>
  <si>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</si>
  <si>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</si>
  <si>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</si>
  <si>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</si>
  <si>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</si>
  <si>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</si>
  <si>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</si>
  <si>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</si>
  <si>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</si>
  <si>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</si>
  <si>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</si>
  <si>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</si>
  <si>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Day 31</t>
  </si>
  <si>
    <t>Day 32</t>
  </si>
  <si>
    <t>Day 33</t>
  </si>
  <si>
    <t>Day 34</t>
  </si>
  <si>
    <t>Day 35</t>
  </si>
  <si>
    <t>Day 36</t>
  </si>
  <si>
    <t>Day 37</t>
  </si>
  <si>
    <t>Day 38</t>
  </si>
  <si>
    <t>Day 39</t>
  </si>
  <si>
    <t>Day 40</t>
  </si>
  <si>
    <t>Day 41</t>
  </si>
  <si>
    <t>Day 42</t>
  </si>
  <si>
    <t>Day 43</t>
  </si>
  <si>
    <t>Day 44</t>
  </si>
  <si>
    <t>Day 45</t>
  </si>
  <si>
    <t>Day 46</t>
  </si>
  <si>
    <t>Day 47</t>
  </si>
  <si>
    <t>Day 48</t>
  </si>
  <si>
    <t>Day 49</t>
  </si>
  <si>
    <t>Day 50</t>
  </si>
  <si>
    <t>Day 51</t>
  </si>
  <si>
    <t>Day 52</t>
  </si>
  <si>
    <t>M1-T01</t>
  </si>
  <si>
    <t>Research LLM evaluation methods, hallucination detection, and RAG techniques</t>
  </si>
  <si>
    <t>30-Jun-2026</t>
  </si>
  <si>
    <t>02-Jul-2026</t>
  </si>
  <si>
    <t>Research</t>
  </si>
  <si>
    <t>M1-T02</t>
  </si>
  <si>
    <t>Design the multi-agent architecture, scoring dimensions, and data model</t>
  </si>
  <si>
    <t>01-Jul-2026</t>
  </si>
  <si>
    <t>04-Jul-2026</t>
  </si>
  <si>
    <t>System Design</t>
  </si>
  <si>
    <t>M1-T03</t>
  </si>
  <si>
    <t>Build the evaluation input module for question, response, and optional reference answer</t>
  </si>
  <si>
    <t>03-Jul-2026</t>
  </si>
  <si>
    <t>06-Jul-2026</t>
  </si>
  <si>
    <t>Implementation</t>
  </si>
  <si>
    <t>M1-T04</t>
  </si>
  <si>
    <t>Chunk reference datasets, generate embeddings, and build the ChromaDB retrieval index</t>
  </si>
  <si>
    <t>08-Jul-2026</t>
  </si>
  <si>
    <t>RAG Development</t>
  </si>
  <si>
    <t>M1-T05</t>
  </si>
  <si>
    <t>Validate retrieval quality end-to-end and prepare Milestone 1 submission</t>
  </si>
  <si>
    <t>09-Jul-2026</t>
  </si>
  <si>
    <t>Validation</t>
  </si>
  <si>
    <t>M2-T01</t>
  </si>
  <si>
    <t>Implement the Relevance Agent</t>
  </si>
  <si>
    <t>10-Jul-2026</t>
  </si>
  <si>
    <t>14-Jul-2026</t>
  </si>
  <si>
    <t>Agent Development</t>
  </si>
  <si>
    <t>M2-T02</t>
  </si>
  <si>
    <t>Implement the Accuracy Agent with supporting evidence lookup</t>
  </si>
  <si>
    <t>13-Jul-2026</t>
  </si>
  <si>
    <t>17-Jul-2026</t>
  </si>
  <si>
    <t>M2-T03</t>
  </si>
  <si>
    <t>Implement the Hallucination Detection Agent</t>
  </si>
  <si>
    <t>15-Jul-2026</t>
  </si>
  <si>
    <t>19-Jul-2026</t>
  </si>
  <si>
    <t>M2-T04</t>
  </si>
  <si>
    <t>Validate the three judge agents against varied question-response pairs and prepare Milestone 2 submission</t>
  </si>
  <si>
    <t>18-Jul-2026</t>
  </si>
  <si>
    <t>21-Jul-2026</t>
  </si>
  <si>
    <t>M3-T01</t>
  </si>
  <si>
    <t>Implement the Completeness Agent</t>
  </si>
  <si>
    <t>22-Jul-2026</t>
  </si>
  <si>
    <t>25-Jul-2026</t>
  </si>
  <si>
    <t>M3-T02</t>
  </si>
  <si>
    <t>Implement the Verdict Agent with weighted score aggregation and quality gate</t>
  </si>
  <si>
    <t>24-Jul-2026</t>
  </si>
  <si>
    <t>28-Jul-2026</t>
  </si>
  <si>
    <t>M3-T03</t>
  </si>
  <si>
    <t>Build the per-dimension scoring and reasoning results interface</t>
  </si>
  <si>
    <t>26-Jul-2026</t>
  </si>
  <si>
    <t>29-Jul-2026</t>
  </si>
  <si>
    <t>UI Development</t>
  </si>
  <si>
    <t>M3-T04</t>
  </si>
  <si>
    <t>Implement the CSV batch evaluation pipeline with aggregated results and prepare Milestone 3 submission</t>
  </si>
  <si>
    <t>27-Jul-2026</t>
  </si>
  <si>
    <t>31-Jul-2026</t>
  </si>
  <si>
    <t>Batch Processing</t>
  </si>
  <si>
    <t>M4-T01</t>
  </si>
  <si>
    <t>Build the evaluation dashboard with multi-filter views and analytics charts</t>
  </si>
  <si>
    <t>01-Aug-2026</t>
  </si>
  <si>
    <t>05-Aug-2026</t>
  </si>
  <si>
    <t>Dashboard</t>
  </si>
  <si>
    <t>M4-T02</t>
  </si>
  <si>
    <t>Implement SQLite-backed evaluation history and PDF report export</t>
  </si>
  <si>
    <t>04-Aug-2026</t>
  </si>
  <si>
    <t>07-Aug-2026</t>
  </si>
  <si>
    <t>Report Generation</t>
  </si>
  <si>
    <t>M4-T03</t>
  </si>
  <si>
    <t>Build and run the automated test suite for single and batch evaluation workflows</t>
  </si>
  <si>
    <t>11-Aug-2026</t>
  </si>
  <si>
    <t>Testing</t>
  </si>
  <si>
    <t>M4-T04</t>
  </si>
  <si>
    <t>Draft the technical documentation and project report</t>
  </si>
  <si>
    <t>09-Aug-2026</t>
  </si>
  <si>
    <t>13-Aug-2026</t>
  </si>
  <si>
    <t>Documentation</t>
  </si>
  <si>
    <t>M4-T05</t>
  </si>
  <si>
    <t>Finalize documentation, agile artifacts, and demonstration readiness; prepare Milestone 4 submission</t>
  </si>
  <si>
    <t>14-Aug-2026</t>
  </si>
  <si>
    <t>20-Aug-2026</t>
  </si>
  <si>
    <t>Finalization</t>
  </si>
  <si>
    <t>Total</t>
  </si>
  <si>
    <t>Sprint / Milestone</t>
  </si>
  <si>
    <t>Date</t>
  </si>
  <si>
    <t>Impediment / Discussion</t>
  </si>
  <si>
    <t>Action Taken</t>
  </si>
  <si>
    <t>Needed to lock down the overall system design before writing code.</t>
  </si>
  <si>
    <t>Finalized the multi-agent architecture, scoring dimensions, and data model.</t>
  </si>
  <si>
    <t>05-Jul-2026</t>
  </si>
  <si>
    <t>RAG knowledge base was built but not yet connected to the live evaluation flow.</t>
  </si>
  <si>
    <t>Traced the evaluation pipeline end-to-end and wired retrieval into the live agent calls instead of assuming it was already connected.</t>
  </si>
  <si>
    <t>st.progress() crashed when passed a negative cosine similarity value during a retrieval preview.</t>
  </si>
  <si>
    <t>Clamped similarity scores to a valid range before passing them to the progress bar.</t>
  </si>
  <si>
    <t>Milestone 1 submission required a final end-to-end validation of retrieval.</t>
  </si>
  <si>
    <t>Validated and finalized the RAG pipeline ahead of submission.</t>
  </si>
  <si>
    <t>12-Jul-2026</t>
  </si>
  <si>
    <t>Relevance Agent output needed to be integrated into the orchestrator.</t>
  </si>
  <si>
    <t>Wired the Relevance Agent into the main evaluation flow.</t>
  </si>
  <si>
    <t>Hallucination Detection Agent was mislabeling true claims as hallucinated when no reference answer was supplied.</t>
  </si>
  <si>
    <t>Added an explicit 'verifiable' flag threaded through the agent output so unverifiable-but-true claims aren't penalized as hallucinations.</t>
  </si>
  <si>
    <t>Accuracy Agent needed grounded evidence when no reference answer was available.</t>
  </si>
  <si>
    <t>Connected retrieved RAG evidence as a fallback grounding source for accuracy checks.</t>
  </si>
  <si>
    <t>Milestone 2 submission required validation across varied QA pairs.</t>
  </si>
  <si>
    <t>Tested all three judge agents on varied inputs and prepared the submission.</t>
  </si>
  <si>
    <t>Started implementation of the Completeness Agent.</t>
  </si>
  <si>
    <t>Implemented completeness scoring against the identified sub-questions.</t>
  </si>
  <si>
    <t>Verdict Agent scores did not match the score rings on the results interface; rings showed zero regardless of the actual scores.</t>
  </si>
  <si>
    <t>Traced the issue to a silent field-name mismatch between the Verdict Agent output and the frontend schema; aligned field names across agents, the Verdict Agent, and the UI.</t>
  </si>
  <si>
    <t>Needed a clear way to present per-dimension scores and reasoning to the user.</t>
  </si>
  <si>
    <t>Built the results interface showing per-dimension scores, reasoning, and final verdict.</t>
  </si>
  <si>
    <t>Milestone 3 submission required the batch CSV pipeline to be validated.</t>
  </si>
  <si>
    <t>Built and validated the batch CSV evaluation pipeline ahead of submission.</t>
  </si>
  <si>
    <t>03-Aug-2026</t>
  </si>
  <si>
    <t>Dashboard cards built using card_open()/card_close() st.markdown() calls weren't actually wrapping the widgets inside them.</t>
  </si>
  <si>
    <t>Replaced the pattern with st.container(key=...) as a context manager and targeted the generated st-key- CSS classes for styling.</t>
  </si>
  <si>
    <t>Side-by-side system comparison on the dashboard became unreadable when too many systems were selected.</t>
  </si>
  <si>
    <t>Capped the comparison view to 4 columns and added a multiselect picker to choose which systems to compare.</t>
  </si>
  <si>
    <t>PDF export was silently missing RAG-related warnings that should have appeared for ungrounded responses.</t>
  </si>
  <si>
    <t>Traced the issue to _normalize_all() dropping the 'rag' key during normalization; fixed the function to preserve it.</t>
  </si>
  <si>
    <t>Pytest fixture data (e.g. IntegrationTestSystem records) was being written into the real evaluation_history.db, corrupting the live dashboard.</t>
  </si>
  <si>
    <t>Made DB_PATH overridable via an environment variable and isolated test state in conftest.py using a temporary database file.</t>
  </si>
  <si>
    <t>Needed to review and polish the written deliverables before submission.</t>
  </si>
  <si>
    <t>Reviewed and refined the technical documentation, project report, and Agile documentation.</t>
  </si>
  <si>
    <t>Final review before submission.</t>
  </si>
  <si>
    <t>Completed final review and assembled the submission package.</t>
  </si>
  <si>
    <t>Milestone</t>
  </si>
  <si>
    <t>What Went Well (Continue Doing)</t>
  </si>
  <si>
    <t>What Didn't Go Well (Stop Doing)</t>
  </si>
  <si>
    <t>What To Improve (Start Doing)</t>
  </si>
  <si>
    <t>Kept the modular agent design and RAG grounding central to the architecture from the start.</t>
  </si>
  <si>
    <t>Assumed the RAG pipeline was wired into evaluation just because it existed; also assumed similarity scores would never be negative.</t>
  </si>
  <si>
    <t>Verify end-to-end wiring explicitly instead of assuming a built component is connected; validate numeric ranges before feeding them to UI widgets.</t>
  </si>
  <si>
    <t>Traced and fixed the RAG wiring gap; clamped similarity scores before display.</t>
  </si>
  <si>
    <t>Kept agent reasoning explicit and explainable across Relevance, Accuracy, and Hallucination agents.</t>
  </si>
  <si>
    <t>Treated unverifiable claims the same as false claims when no reference answer was available.</t>
  </si>
  <si>
    <t>Thread explicit flags (like 'verifiable') through agent outputs whenever reference data may be missing.</t>
  </si>
  <si>
    <t>Added a 'verifiable' flag across agents, the Verdict Agent, and PDF export.</t>
  </si>
  <si>
    <t>Kept dimension scores and the final verdict cleanly separated in the scoring model.</t>
  </si>
  <si>
    <t>Assumed a zero score on the UI meant a genuinely failing evaluation, rather than checking for a data issue.</t>
  </si>
  <si>
    <t>Actively check schema alignment between agents, the Verdict Agent, and the frontend after every change.</t>
  </si>
  <si>
    <t>Fixed the field-name mismatch causing score rings to zero out and added integration checks.</t>
  </si>
  <si>
    <t>Kept the dashboard, PDF reporting, and test suite aligned with the core evaluation pipeline.</t>
  </si>
  <si>
    <t>Reused a Streamlit card pattern that didn't actually wrap widgets; let test fixtures write into the production database by default.</t>
  </si>
  <si>
    <t>Isolate test data from production from day one; verify UI container patterns actually behave as intended before building on top of them.</t>
  </si>
  <si>
    <t>Made DB_PATH overridable and isolated test state in conftest.py; switched to st.container(key=...) for cards; capped dashboard comparison columns; fixed _normalize_all() dropping the 'rag' key.</t>
  </si>
  <si>
    <t>Sl No</t>
  </si>
  <si>
    <t>Submitted By</t>
  </si>
  <si>
    <t>Submitted Date</t>
  </si>
  <si>
    <t>Description</t>
  </si>
  <si>
    <t>Detected Milestone</t>
  </si>
  <si>
    <t>Assigned To</t>
  </si>
  <si>
    <t>Type Of Defect</t>
  </si>
  <si>
    <t>Action Taken Date</t>
  </si>
  <si>
    <t>Status (Open/Closed)</t>
  </si>
  <si>
    <t>Remarks</t>
  </si>
  <si>
    <t>RAG knowledge base was built but never wired into the live evaluation flow.</t>
  </si>
  <si>
    <t>Integration</t>
  </si>
  <si>
    <t>Traced the evaluation pipeline end-to-end and connected retrieval calls to the live agent flow instead of assuming the wiring was already in place.</t>
  </si>
  <si>
    <t>Closed</t>
  </si>
  <si>
    <t>Verified by re-running Milestone 1 validation.</t>
  </si>
  <si>
    <t>UI / Robustness</t>
  </si>
  <si>
    <t>Clamped similarity scores to a valid 0-1 range before passing them to the progress bar.</t>
  </si>
  <si>
    <t>No further crashes observed in retrieval preview.</t>
  </si>
  <si>
    <t>16-Jul-2026</t>
  </si>
  <si>
    <t>Hallucination Detection Agent mislabeled true claims as hallucinated when no reference answer was supplied.</t>
  </si>
  <si>
    <t>Logical</t>
  </si>
  <si>
    <t>Added an explicit 'verifiable' flag threaded through the agent output, Verdict Agent, and PDF export so unverifiable-but-true claims are not penalized as hallucinations.</t>
  </si>
  <si>
    <t>Confirmed correct handling on QA pairs without reference answers.</t>
  </si>
  <si>
    <t>Verdict Agent scores did not match the score rings on the results interface; rings showed zero regardless of actual scores.</t>
  </si>
  <si>
    <t>Found a silent field-name mismatch between Verdict Agent output keys and the frontend schema; aligned field names across agents, the Verdict Agent, and the UI.</t>
  </si>
  <si>
    <t>Score rings now render correctly across all dimensions.</t>
  </si>
  <si>
    <t>Dashboard cards built with card_open()/card_close() st.markdown() calls did not actually wrap the widgets inside them.</t>
  </si>
  <si>
    <t>UI</t>
  </si>
  <si>
    <t>Cards now render with widgets correctly contained.</t>
  </si>
  <si>
    <t>Side-by-side system comparison on the dashboard became unreadable when too many systems were selected at once.</t>
  </si>
  <si>
    <t>UI / UX</t>
  </si>
  <si>
    <t>Layout stays readable regardless of how many systems exist.</t>
  </si>
  <si>
    <t>PDF report export was silently missing RAG-related warnings that should have appeared for ungrounded responses.</t>
  </si>
  <si>
    <t>Data Integrity</t>
  </si>
  <si>
    <t>Warnings now appear correctly in both the dashboard and the exported PDF.</t>
  </si>
  <si>
    <t>Test Isolation</t>
  </si>
  <si>
    <t>Production dashboard no longer shows test data; full pytest suite passes against an isolated DB.</t>
  </si>
  <si>
    <t>Test ID</t>
  </si>
  <si>
    <t>Module / Agent</t>
  </si>
  <si>
    <t>Test Description</t>
  </si>
  <si>
    <t>Test Type</t>
  </si>
  <si>
    <t>Expected Result</t>
  </si>
  <si>
    <t>Actual Result</t>
  </si>
  <si>
    <t>UT-01</t>
  </si>
  <si>
    <t>Evaluation Input Module</t>
  </si>
  <si>
    <t>Verify a question, response, and optional reference answer are accepted and validated correctly.</t>
  </si>
  <si>
    <t>Unit</t>
  </si>
  <si>
    <t>Input is validated and stored in the expected schema.</t>
  </si>
  <si>
    <t>Passed</t>
  </si>
  <si>
    <t>UT-02</t>
  </si>
  <si>
    <t>RAG Knowledge Base</t>
  </si>
  <si>
    <t>Verify documents are chunked, embedded, and indexed into ChromaDB correctly.</t>
  </si>
  <si>
    <t>Chunks are embedded and retrievable by similarity search.</t>
  </si>
  <si>
    <t>UT-03</t>
  </si>
  <si>
    <t>RAG Retrieval</t>
  </si>
  <si>
    <t>Verify retrieval returns the most relevant chunks for a given query, including edge cases with negative similarity.</t>
  </si>
  <si>
    <t>Relevant chunks returned; similarity values clamped to a valid range.</t>
  </si>
  <si>
    <t>UT-04</t>
  </si>
  <si>
    <t>Relevance Agent</t>
  </si>
  <si>
    <t>Verify the agent scores how directly a response addresses the question, with reasoning.</t>
  </si>
  <si>
    <t>Score and reasoning returned in the expected schema.</t>
  </si>
  <si>
    <t>UT-05</t>
  </si>
  <si>
    <t>Accuracy Agent</t>
  </si>
  <si>
    <t>Verify the agent checks factual correctness against a reference answer or retrieved evidence.</t>
  </si>
  <si>
    <t>Correct accuracy score and supporting evidence returned.</t>
  </si>
  <si>
    <t>UT-06</t>
  </si>
  <si>
    <t>Hallucination Detection Agent</t>
  </si>
  <si>
    <t>Verify unsupported claims are flagged, and unverifiable-but-true claims are not penalized.</t>
  </si>
  <si>
    <t>Hallucinated claims flagged; verifiable flag correctly applied.</t>
  </si>
  <si>
    <t>UT-07</t>
  </si>
  <si>
    <t>Completeness Agent</t>
  </si>
  <si>
    <t>Verify unanswered aspects of the question are correctly identified.</t>
  </si>
  <si>
    <t>Missing sub-questions correctly identified.</t>
  </si>
  <si>
    <t>UT-08</t>
  </si>
  <si>
    <t>Verdict Agent</t>
  </si>
  <si>
    <t>Verify the four dimension scores are combined into a weighted final verdict with the quality gate applied.</t>
  </si>
  <si>
    <t>Correct Pass / Needs Improvement / Fail verdict returned.</t>
  </si>
  <si>
    <t>UT-09</t>
  </si>
  <si>
    <t>Verdict Agent - Field Schema</t>
  </si>
  <si>
    <t>Verify Verdict Agent output field names match the frontend schema exactly.</t>
  </si>
  <si>
    <t>Regression</t>
  </si>
  <si>
    <t>Score rings render correctly, no zeroed-out scores.</t>
  </si>
  <si>
    <t>UT-10</t>
  </si>
  <si>
    <t>Batch CSV Pipeline</t>
  </si>
  <si>
    <t>Verify a CSV of multiple question-response pairs is evaluated correctly in a single batch run.</t>
  </si>
  <si>
    <t>All rows evaluated and aggregated results returned.</t>
  </si>
  <si>
    <t>UT-11</t>
  </si>
  <si>
    <t>Dashboard Filters</t>
  </si>
  <si>
    <t>Verify multi-filter views on the dashboard return the correct subset of evaluation history.</t>
  </si>
  <si>
    <t>Filtered results match applied filter criteria.</t>
  </si>
  <si>
    <t>UT-12</t>
  </si>
  <si>
    <t>Dashboard Comparison View</t>
  </si>
  <si>
    <t>Verify the system comparison view stays readable when more than 4 systems exist.</t>
  </si>
  <si>
    <t>Comparison capped at 4 columns with a multiselect picker.</t>
  </si>
  <si>
    <t>UT-13</t>
  </si>
  <si>
    <t>PDF Export</t>
  </si>
  <si>
    <t>Verify PDF reports are generated correctly, including RAG-related warnings for ungrounded responses.</t>
  </si>
  <si>
    <t>PDF generated with correct scores, verdicts, and warnings.</t>
  </si>
  <si>
    <t>UT-14</t>
  </si>
  <si>
    <t>SQLite Evaluation History</t>
  </si>
  <si>
    <t>Verify evaluation results are persisted correctly to evaluation_history.db.</t>
  </si>
  <si>
    <t>Records persisted and retrievable via the dashboard.</t>
  </si>
  <si>
    <t>UT-15</t>
  </si>
  <si>
    <t>Test / Production DB Isolation</t>
  </si>
  <si>
    <t>Verify pytest fixture data never writes into the production evaluation_history.db.</t>
  </si>
  <si>
    <t>Test runs use an isolated temp DB via overridable DB_PATH.</t>
  </si>
  <si>
    <t>UT-16</t>
  </si>
  <si>
    <t>End-to-End Workflow</t>
  </si>
  <si>
    <t>Verify a full single evaluation and a full batch evaluation run end-to-end without errors.</t>
  </si>
  <si>
    <t>End-to-End</t>
  </si>
  <si>
    <t>Both workflows complete and produce correct final verdicts.</t>
  </si>
  <si>
    <t>Sumeet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</si>
</sst>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F4B183"/>
        <bgColor rgb="FFF4B183"/>
      </patternFill>
    </fill>
    <fill>
      <patternFill patternType="solid">
        <fgColor rgb="FFB7B7B7"/>
        <bgColor rgb="FFB7B7B7"/>
      </patternFill>
    </fill>
    <fill>
      <patternFill patternType="solid">
        <fgColor rgb="FFA9D18E"/>
        <bgColor rgb="FFA9D18E"/>
      </patternFill>
    </fill>
    <fill>
      <patternFill patternType="solid">
        <fgColor rgb="FF9DC3E6"/>
        <bgColor rgb="FF9DC3E6"/>
      </patternFill>
    </fill>
    <fill>
      <patternFill patternType="solid">
        <fgColor rgb="FF5B9BD5"/>
        <bgColor rgb="FF5B9BD5"/>
      </patternFill>
    </fill>
    <fill>
      <patternFill patternType="solid">
        <fgColor rgb="FF8797B0"/>
        <bgColor rgb="FF8797B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2" xfId="0" applyBorder="1"/>
    <xf numFmtId="0" fontId="1" fillId="0" borderId="2" xfId="0" applyFont="1" applyBorder="1"/>
    <xf numFmtId="0" fontId="3" fillId="0" borderId="2" xfId="0" applyFont="1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5"/>
  <sheetViews>
    <sheetView tabSelected="1" workbookViewId="0">
      <pane ySplit="1" topLeftCell="A2" activePane="bottomLeft" state="frozen"/>
      <selection pane="bottomLeft" activeCell="D5" sqref="D5"/>
    </sheetView>
  </sheetViews>
  <sheetFormatPr defaultRowHeight="15" x14ac:dyDescent="0.25"/>
  <cols>
    <col min="1" max="2" width="14" customWidth="1"/>
    <col min="3" max="3" width="8" customWidth="1"/>
    <col min="4" max="4" width="60" customWidth="1"/>
    <col min="5" max="5" width="10" customWidth="1"/>
    <col min="6" max="6" width="20" customWidth="1"/>
    <col min="7" max="8" width="12" customWidth="1"/>
  </cols>
  <sheetData>
    <row r="1" spans="1:8" ht="4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customHeight="1" x14ac:dyDescent="0.25">
      <c r="A2" s="2" t="s">
        <v>8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368</v>
      </c>
      <c r="H2" s="2" t="s">
        <v>13</v>
      </c>
    </row>
    <row r="3" spans="1:8" ht="30" customHeight="1" x14ac:dyDescent="0.25">
      <c r="A3" s="2" t="s">
        <v>8</v>
      </c>
      <c r="B3" s="2" t="s">
        <v>8</v>
      </c>
      <c r="C3" s="2" t="s">
        <v>14</v>
      </c>
      <c r="D3" s="2" t="s">
        <v>15</v>
      </c>
      <c r="E3" s="2" t="s">
        <v>11</v>
      </c>
      <c r="F3" s="2" t="s">
        <v>9</v>
      </c>
      <c r="G3" s="2" t="s">
        <v>368</v>
      </c>
      <c r="H3" s="2" t="s">
        <v>13</v>
      </c>
    </row>
    <row r="4" spans="1:8" ht="30" customHeight="1" x14ac:dyDescent="0.25">
      <c r="A4" s="2" t="s">
        <v>8</v>
      </c>
      <c r="B4" s="2" t="s">
        <v>8</v>
      </c>
      <c r="C4" s="2" t="s">
        <v>16</v>
      </c>
      <c r="D4" s="2" t="s">
        <v>17</v>
      </c>
      <c r="E4" s="2" t="s">
        <v>11</v>
      </c>
      <c r="F4" s="2" t="s">
        <v>12</v>
      </c>
      <c r="G4" s="2" t="s">
        <v>368</v>
      </c>
      <c r="H4" s="2" t="s">
        <v>13</v>
      </c>
    </row>
    <row r="5" spans="1:8" ht="30" customHeight="1" x14ac:dyDescent="0.25">
      <c r="A5" s="2" t="s">
        <v>18</v>
      </c>
      <c r="B5" s="2" t="s">
        <v>18</v>
      </c>
      <c r="C5" s="2" t="s">
        <v>19</v>
      </c>
      <c r="D5" s="2" t="s">
        <v>20</v>
      </c>
      <c r="E5" s="2" t="s">
        <v>11</v>
      </c>
      <c r="F5" s="2" t="s">
        <v>21</v>
      </c>
      <c r="G5" s="2" t="s">
        <v>368</v>
      </c>
      <c r="H5" s="2" t="s">
        <v>13</v>
      </c>
    </row>
    <row r="6" spans="1:8" ht="30" customHeight="1" x14ac:dyDescent="0.25">
      <c r="A6" s="2" t="s">
        <v>18</v>
      </c>
      <c r="B6" s="2" t="s">
        <v>18</v>
      </c>
      <c r="C6" s="2" t="s">
        <v>22</v>
      </c>
      <c r="D6" s="2" t="s">
        <v>23</v>
      </c>
      <c r="E6" s="2" t="s">
        <v>11</v>
      </c>
      <c r="F6" s="2" t="s">
        <v>14</v>
      </c>
      <c r="G6" s="2" t="s">
        <v>368</v>
      </c>
      <c r="H6" s="2" t="s">
        <v>13</v>
      </c>
    </row>
    <row r="7" spans="1:8" ht="30" customHeight="1" x14ac:dyDescent="0.25">
      <c r="A7" s="2" t="s">
        <v>18</v>
      </c>
      <c r="B7" s="2" t="s">
        <v>18</v>
      </c>
      <c r="C7" s="2" t="s">
        <v>24</v>
      </c>
      <c r="D7" s="2" t="s">
        <v>25</v>
      </c>
      <c r="E7" s="2" t="s">
        <v>11</v>
      </c>
      <c r="F7" s="2" t="s">
        <v>26</v>
      </c>
      <c r="G7" s="2" t="s">
        <v>368</v>
      </c>
      <c r="H7" s="2" t="s">
        <v>13</v>
      </c>
    </row>
    <row r="8" spans="1:8" ht="30" customHeight="1" x14ac:dyDescent="0.25">
      <c r="A8" s="2" t="s">
        <v>27</v>
      </c>
      <c r="B8" s="2" t="s">
        <v>27</v>
      </c>
      <c r="C8" s="2" t="s">
        <v>28</v>
      </c>
      <c r="D8" s="2" t="s">
        <v>29</v>
      </c>
      <c r="E8" s="2" t="s">
        <v>11</v>
      </c>
      <c r="F8" s="2" t="s">
        <v>30</v>
      </c>
      <c r="G8" s="2" t="s">
        <v>368</v>
      </c>
      <c r="H8" s="2" t="s">
        <v>13</v>
      </c>
    </row>
    <row r="9" spans="1:8" ht="30" customHeight="1" x14ac:dyDescent="0.25">
      <c r="A9" s="2" t="s">
        <v>27</v>
      </c>
      <c r="B9" s="2" t="s">
        <v>27</v>
      </c>
      <c r="C9" s="2" t="s">
        <v>31</v>
      </c>
      <c r="D9" s="2" t="s">
        <v>32</v>
      </c>
      <c r="E9" s="2" t="s">
        <v>11</v>
      </c>
      <c r="F9" s="2" t="s">
        <v>33</v>
      </c>
      <c r="G9" s="2" t="s">
        <v>368</v>
      </c>
      <c r="H9" s="2" t="s">
        <v>13</v>
      </c>
    </row>
    <row r="10" spans="1:8" ht="30" customHeight="1" x14ac:dyDescent="0.25">
      <c r="A10" s="2" t="s">
        <v>27</v>
      </c>
      <c r="B10" s="2" t="s">
        <v>27</v>
      </c>
      <c r="C10" s="2" t="s">
        <v>34</v>
      </c>
      <c r="D10" s="2" t="s">
        <v>35</v>
      </c>
      <c r="E10" s="2" t="s">
        <v>11</v>
      </c>
      <c r="F10" s="2" t="s">
        <v>36</v>
      </c>
      <c r="G10" s="2" t="s">
        <v>368</v>
      </c>
      <c r="H10" s="2" t="s">
        <v>13</v>
      </c>
    </row>
    <row r="11" spans="1:8" ht="30" customHeight="1" x14ac:dyDescent="0.25">
      <c r="A11" s="2" t="s">
        <v>27</v>
      </c>
      <c r="B11" s="2" t="s">
        <v>27</v>
      </c>
      <c r="C11" s="2" t="s">
        <v>37</v>
      </c>
      <c r="D11" s="2" t="s">
        <v>38</v>
      </c>
      <c r="E11" s="2" t="s">
        <v>11</v>
      </c>
      <c r="F11" s="2" t="s">
        <v>30</v>
      </c>
      <c r="G11" s="2" t="s">
        <v>368</v>
      </c>
      <c r="H11" s="2" t="s">
        <v>13</v>
      </c>
    </row>
    <row r="12" spans="1:8" ht="30" customHeight="1" x14ac:dyDescent="0.25">
      <c r="A12" s="2" t="s">
        <v>39</v>
      </c>
      <c r="B12" s="2" t="s">
        <v>39</v>
      </c>
      <c r="C12" s="2" t="s">
        <v>40</v>
      </c>
      <c r="D12" s="2" t="s">
        <v>41</v>
      </c>
      <c r="E12" s="2" t="s">
        <v>11</v>
      </c>
      <c r="F12" s="2" t="s">
        <v>37</v>
      </c>
      <c r="G12" s="2" t="s">
        <v>368</v>
      </c>
      <c r="H12" s="2" t="s">
        <v>13</v>
      </c>
    </row>
    <row r="13" spans="1:8" ht="30" customHeight="1" x14ac:dyDescent="0.25">
      <c r="A13" s="2" t="s">
        <v>39</v>
      </c>
      <c r="B13" s="2" t="s">
        <v>39</v>
      </c>
      <c r="C13" s="2" t="s">
        <v>42</v>
      </c>
      <c r="D13" s="2" t="s">
        <v>43</v>
      </c>
      <c r="E13" s="2" t="s">
        <v>11</v>
      </c>
      <c r="F13" s="2" t="s">
        <v>44</v>
      </c>
      <c r="G13" s="2" t="s">
        <v>368</v>
      </c>
      <c r="H13" s="2" t="s">
        <v>13</v>
      </c>
    </row>
    <row r="14" spans="1:8" ht="30" customHeight="1" x14ac:dyDescent="0.25">
      <c r="A14" s="2" t="s">
        <v>39</v>
      </c>
      <c r="B14" s="2" t="s">
        <v>39</v>
      </c>
      <c r="C14" s="2" t="s">
        <v>45</v>
      </c>
      <c r="D14" s="2" t="s">
        <v>46</v>
      </c>
      <c r="E14" s="2" t="s">
        <v>11</v>
      </c>
      <c r="F14" s="2" t="s">
        <v>47</v>
      </c>
      <c r="G14" s="2" t="s">
        <v>368</v>
      </c>
      <c r="H14" s="2" t="s">
        <v>13</v>
      </c>
    </row>
    <row r="15" spans="1:8" ht="30" customHeight="1" x14ac:dyDescent="0.25">
      <c r="A15" s="2" t="s">
        <v>39</v>
      </c>
      <c r="B15" s="2" t="s">
        <v>39</v>
      </c>
      <c r="C15" s="2" t="s">
        <v>48</v>
      </c>
      <c r="D15" s="2" t="s">
        <v>49</v>
      </c>
      <c r="E15" s="2" t="s">
        <v>50</v>
      </c>
      <c r="F15" s="2" t="s">
        <v>51</v>
      </c>
      <c r="G15" s="2" t="s">
        <v>368</v>
      </c>
      <c r="H15" s="2" t="s">
        <v>13</v>
      </c>
    </row>
  </sheetData>
  <pageMargins left="0.3" right="0.3" top="0.4" bottom="0.4" header="0.2" footer="0.2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I20"/>
  <sheetViews>
    <sheetView workbookViewId="0">
      <pane xSplit="3" ySplit="1" topLeftCell="D11" activePane="bottomRight" state="frozen"/>
      <selection pane="topRight"/>
      <selection pane="bottomLeft"/>
      <selection pane="bottomRight" activeCell="F19" sqref="F19"/>
    </sheetView>
  </sheetViews>
  <sheetFormatPr defaultRowHeight="15" x14ac:dyDescent="0.25"/>
  <cols>
    <col min="1" max="1" width="10" customWidth="1"/>
    <col min="2" max="2" width="11" customWidth="1"/>
    <col min="3" max="3" width="50" customWidth="1"/>
    <col min="4" max="4" width="15" customWidth="1"/>
    <col min="5" max="5" width="17" customWidth="1"/>
    <col min="6" max="6" width="13" customWidth="1"/>
    <col min="7" max="7" width="16" customWidth="1"/>
    <col min="8" max="8" width="12" customWidth="1"/>
    <col min="9" max="9" width="14" customWidth="1"/>
    <col min="10" max="61" width="7" customWidth="1"/>
  </cols>
  <sheetData>
    <row r="1" spans="1:61" ht="39.950000000000003" customHeight="1" x14ac:dyDescent="0.25">
      <c r="A1" s="3" t="s">
        <v>2</v>
      </c>
      <c r="B1" s="3" t="s">
        <v>52</v>
      </c>
      <c r="C1" s="3" t="s">
        <v>53</v>
      </c>
      <c r="D1" s="3" t="s">
        <v>54</v>
      </c>
      <c r="E1" s="3" t="s">
        <v>55</v>
      </c>
      <c r="F1" s="3" t="s">
        <v>56</v>
      </c>
      <c r="G1" s="3" t="s">
        <v>57</v>
      </c>
      <c r="H1" s="3" t="s">
        <v>7</v>
      </c>
      <c r="I1" s="3" t="s">
        <v>58</v>
      </c>
      <c r="J1" s="3" t="s">
        <v>59</v>
      </c>
      <c r="K1" s="3" t="s">
        <v>60</v>
      </c>
      <c r="L1" s="3" t="s">
        <v>61</v>
      </c>
      <c r="M1" s="3" t="s">
        <v>62</v>
      </c>
      <c r="N1" s="3" t="s">
        <v>63</v>
      </c>
      <c r="O1" s="3" t="s">
        <v>64</v>
      </c>
      <c r="P1" s="3" t="s">
        <v>65</v>
      </c>
      <c r="Q1" s="3" t="s">
        <v>66</v>
      </c>
      <c r="R1" s="3" t="s">
        <v>67</v>
      </c>
      <c r="S1" s="3" t="s">
        <v>68</v>
      </c>
      <c r="T1" s="3" t="s">
        <v>69</v>
      </c>
      <c r="U1" s="3" t="s">
        <v>70</v>
      </c>
      <c r="V1" s="3" t="s">
        <v>71</v>
      </c>
      <c r="W1" s="3" t="s">
        <v>72</v>
      </c>
      <c r="X1" s="3" t="s">
        <v>73</v>
      </c>
      <c r="Y1" s="3" t="s">
        <v>74</v>
      </c>
      <c r="Z1" s="3" t="s">
        <v>75</v>
      </c>
      <c r="AA1" s="3" t="s">
        <v>76</v>
      </c>
      <c r="AB1" s="3" t="s">
        <v>77</v>
      </c>
      <c r="AC1" s="3" t="s">
        <v>78</v>
      </c>
      <c r="AD1" s="3" t="s">
        <v>79</v>
      </c>
      <c r="AE1" s="3" t="s">
        <v>80</v>
      </c>
      <c r="AF1" s="3" t="s">
        <v>81</v>
      </c>
      <c r="AG1" s="3" t="s">
        <v>82</v>
      </c>
      <c r="AH1" s="3" t="s">
        <v>83</v>
      </c>
      <c r="AI1" s="3" t="s">
        <v>84</v>
      </c>
      <c r="AJ1" s="3" t="s">
        <v>85</v>
      </c>
      <c r="AK1" s="3" t="s">
        <v>86</v>
      </c>
      <c r="AL1" s="3" t="s">
        <v>87</v>
      </c>
      <c r="AM1" s="3" t="s">
        <v>88</v>
      </c>
      <c r="AN1" s="3" t="s">
        <v>89</v>
      </c>
      <c r="AO1" s="3" t="s">
        <v>90</v>
      </c>
      <c r="AP1" s="3" t="s">
        <v>91</v>
      </c>
      <c r="AQ1" s="3" t="s">
        <v>92</v>
      </c>
      <c r="AR1" s="3" t="s">
        <v>93</v>
      </c>
      <c r="AS1" s="3" t="s">
        <v>94</v>
      </c>
      <c r="AT1" s="3" t="s">
        <v>95</v>
      </c>
      <c r="AU1" s="3" t="s">
        <v>96</v>
      </c>
      <c r="AV1" s="3" t="s">
        <v>97</v>
      </c>
      <c r="AW1" s="3" t="s">
        <v>98</v>
      </c>
      <c r="AX1" s="3" t="s">
        <v>99</v>
      </c>
      <c r="AY1" s="3" t="s">
        <v>100</v>
      </c>
      <c r="AZ1" s="3" t="s">
        <v>101</v>
      </c>
      <c r="BA1" s="3" t="s">
        <v>102</v>
      </c>
      <c r="BB1" s="3" t="s">
        <v>103</v>
      </c>
      <c r="BC1" s="3" t="s">
        <v>104</v>
      </c>
      <c r="BD1" s="3" t="s">
        <v>105</v>
      </c>
      <c r="BE1" s="3" t="s">
        <v>106</v>
      </c>
      <c r="BF1" s="3" t="s">
        <v>107</v>
      </c>
      <c r="BG1" s="3" t="s">
        <v>108</v>
      </c>
      <c r="BH1" s="3" t="s">
        <v>109</v>
      </c>
      <c r="BI1" s="3" t="s">
        <v>110</v>
      </c>
    </row>
    <row r="2" spans="1:61" ht="27.95" customHeight="1" x14ac:dyDescent="0.25">
      <c r="A2" s="2" t="s">
        <v>9</v>
      </c>
      <c r="B2" s="2" t="s">
        <v>111</v>
      </c>
      <c r="C2" s="2" t="s">
        <v>112</v>
      </c>
      <c r="D2" s="2" t="s">
        <v>113</v>
      </c>
      <c r="E2" s="2" t="s">
        <v>114</v>
      </c>
      <c r="F2" s="2" t="s">
        <v>368</v>
      </c>
      <c r="G2" s="2" t="s">
        <v>115</v>
      </c>
      <c r="H2" s="2" t="s">
        <v>13</v>
      </c>
      <c r="I2" s="2">
        <v>6</v>
      </c>
      <c r="J2" s="2">
        <v>3</v>
      </c>
      <c r="K2" s="2">
        <v>2</v>
      </c>
      <c r="L2" s="2">
        <v>1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</row>
    <row r="3" spans="1:61" ht="27.95" customHeight="1" x14ac:dyDescent="0.25">
      <c r="A3" s="2" t="s">
        <v>16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368</v>
      </c>
      <c r="G3" s="2" t="s">
        <v>120</v>
      </c>
      <c r="H3" s="2" t="s">
        <v>13</v>
      </c>
      <c r="I3" s="2">
        <v>8</v>
      </c>
      <c r="J3" s="2">
        <v>0</v>
      </c>
      <c r="K3" s="2">
        <v>1</v>
      </c>
      <c r="L3" s="2">
        <v>2</v>
      </c>
      <c r="M3" s="2">
        <v>3</v>
      </c>
      <c r="N3" s="2">
        <v>2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</row>
    <row r="4" spans="1:61" ht="27.95" customHeight="1" x14ac:dyDescent="0.25">
      <c r="A4" s="2" t="s">
        <v>9</v>
      </c>
      <c r="B4" s="2" t="s">
        <v>121</v>
      </c>
      <c r="C4" s="2" t="s">
        <v>122</v>
      </c>
      <c r="D4" s="2" t="s">
        <v>123</v>
      </c>
      <c r="E4" s="2" t="s">
        <v>124</v>
      </c>
      <c r="F4" s="2" t="s">
        <v>368</v>
      </c>
      <c r="G4" s="2" t="s">
        <v>125</v>
      </c>
      <c r="H4" s="2" t="s">
        <v>13</v>
      </c>
      <c r="I4" s="2">
        <v>8</v>
      </c>
      <c r="J4" s="2">
        <v>0</v>
      </c>
      <c r="K4" s="2">
        <v>0</v>
      </c>
      <c r="L4" s="2">
        <v>0</v>
      </c>
      <c r="M4" s="2">
        <v>1</v>
      </c>
      <c r="N4" s="2">
        <v>2</v>
      </c>
      <c r="O4" s="2">
        <v>2</v>
      </c>
      <c r="P4" s="2">
        <v>3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</row>
    <row r="5" spans="1:61" ht="27.95" customHeight="1" x14ac:dyDescent="0.25">
      <c r="A5" s="2" t="s">
        <v>14</v>
      </c>
      <c r="B5" s="2" t="s">
        <v>126</v>
      </c>
      <c r="C5" s="2" t="s">
        <v>127</v>
      </c>
      <c r="D5" s="2" t="s">
        <v>119</v>
      </c>
      <c r="E5" s="2" t="s">
        <v>128</v>
      </c>
      <c r="F5" s="2" t="s">
        <v>368</v>
      </c>
      <c r="G5" s="2" t="s">
        <v>129</v>
      </c>
      <c r="H5" s="2" t="s">
        <v>13</v>
      </c>
      <c r="I5" s="2">
        <v>12</v>
      </c>
      <c r="J5" s="2">
        <v>0</v>
      </c>
      <c r="K5" s="2">
        <v>0</v>
      </c>
      <c r="L5" s="2">
        <v>0</v>
      </c>
      <c r="M5" s="2">
        <v>0</v>
      </c>
      <c r="N5" s="2">
        <v>1</v>
      </c>
      <c r="O5" s="2">
        <v>2</v>
      </c>
      <c r="P5" s="2">
        <v>2</v>
      </c>
      <c r="Q5" s="2">
        <v>4</v>
      </c>
      <c r="R5" s="2">
        <v>3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</row>
    <row r="6" spans="1:61" ht="27.95" customHeight="1" x14ac:dyDescent="0.25">
      <c r="A6" s="2" t="s">
        <v>14</v>
      </c>
      <c r="B6" s="2" t="s">
        <v>130</v>
      </c>
      <c r="C6" s="2" t="s">
        <v>131</v>
      </c>
      <c r="D6" s="2" t="s">
        <v>128</v>
      </c>
      <c r="E6" s="2" t="s">
        <v>132</v>
      </c>
      <c r="F6" s="2" t="s">
        <v>368</v>
      </c>
      <c r="G6" s="2" t="s">
        <v>133</v>
      </c>
      <c r="H6" s="2" t="s">
        <v>13</v>
      </c>
      <c r="I6" s="2">
        <v>5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1</v>
      </c>
      <c r="S6" s="2">
        <v>4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</row>
    <row r="7" spans="1:61" ht="27.95" customHeight="1" x14ac:dyDescent="0.25">
      <c r="A7" s="2" t="s">
        <v>19</v>
      </c>
      <c r="B7" s="2" t="s">
        <v>134</v>
      </c>
      <c r="C7" s="2" t="s">
        <v>135</v>
      </c>
      <c r="D7" s="2" t="s">
        <v>136</v>
      </c>
      <c r="E7" s="2" t="s">
        <v>137</v>
      </c>
      <c r="F7" s="2" t="s">
        <v>368</v>
      </c>
      <c r="G7" s="2" t="s">
        <v>138</v>
      </c>
      <c r="H7" s="2" t="s">
        <v>13</v>
      </c>
      <c r="I7" s="2">
        <v>10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3</v>
      </c>
      <c r="U7" s="2">
        <v>2</v>
      </c>
      <c r="V7" s="2">
        <v>3</v>
      </c>
      <c r="W7" s="2">
        <v>1</v>
      </c>
      <c r="X7" s="2">
        <v>1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</row>
    <row r="8" spans="1:61" ht="27.95" customHeight="1" x14ac:dyDescent="0.25">
      <c r="A8" s="2" t="s">
        <v>22</v>
      </c>
      <c r="B8" s="2" t="s">
        <v>139</v>
      </c>
      <c r="C8" s="2" t="s">
        <v>140</v>
      </c>
      <c r="D8" s="2" t="s">
        <v>141</v>
      </c>
      <c r="E8" s="2" t="s">
        <v>142</v>
      </c>
      <c r="F8" s="2" t="s">
        <v>368</v>
      </c>
      <c r="G8" s="2" t="s">
        <v>138</v>
      </c>
      <c r="H8" s="2" t="s">
        <v>13</v>
      </c>
      <c r="I8" s="2">
        <v>10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2</v>
      </c>
      <c r="X8" s="2">
        <v>2</v>
      </c>
      <c r="Y8" s="2">
        <v>2</v>
      </c>
      <c r="Z8" s="2">
        <v>2</v>
      </c>
      <c r="AA8" s="2">
        <v>2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</row>
    <row r="9" spans="1:61" ht="27.95" customHeight="1" x14ac:dyDescent="0.25">
      <c r="A9" s="2" t="s">
        <v>24</v>
      </c>
      <c r="B9" s="2" t="s">
        <v>143</v>
      </c>
      <c r="C9" s="2" t="s">
        <v>144</v>
      </c>
      <c r="D9" s="2" t="s">
        <v>145</v>
      </c>
      <c r="E9" s="2" t="s">
        <v>146</v>
      </c>
      <c r="F9" s="2" t="s">
        <v>368</v>
      </c>
      <c r="G9" s="2" t="s">
        <v>138</v>
      </c>
      <c r="H9" s="2" t="s">
        <v>13</v>
      </c>
      <c r="I9" s="2">
        <v>12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2</v>
      </c>
      <c r="Z9" s="2">
        <v>2</v>
      </c>
      <c r="AA9" s="2">
        <v>2</v>
      </c>
      <c r="AB9" s="2">
        <v>3</v>
      </c>
      <c r="AC9" s="2">
        <v>3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</row>
    <row r="10" spans="1:61" ht="27.95" customHeight="1" x14ac:dyDescent="0.25">
      <c r="A10" s="2" t="s">
        <v>19</v>
      </c>
      <c r="B10" s="2" t="s">
        <v>147</v>
      </c>
      <c r="C10" s="2" t="s">
        <v>148</v>
      </c>
      <c r="D10" s="2" t="s">
        <v>149</v>
      </c>
      <c r="E10" s="2" t="s">
        <v>150</v>
      </c>
      <c r="F10" s="2" t="s">
        <v>368</v>
      </c>
      <c r="G10" s="2" t="s">
        <v>133</v>
      </c>
      <c r="H10" s="2" t="s">
        <v>13</v>
      </c>
      <c r="I10" s="2">
        <v>8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1</v>
      </c>
      <c r="AC10" s="2">
        <v>1</v>
      </c>
      <c r="AD10" s="2">
        <v>3</v>
      </c>
      <c r="AE10" s="2">
        <v>3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</row>
    <row r="11" spans="1:61" ht="27.95" customHeight="1" x14ac:dyDescent="0.25">
      <c r="A11" s="2" t="s">
        <v>28</v>
      </c>
      <c r="B11" s="2" t="s">
        <v>151</v>
      </c>
      <c r="C11" s="2" t="s">
        <v>152</v>
      </c>
      <c r="D11" s="2" t="s">
        <v>153</v>
      </c>
      <c r="E11" s="2" t="s">
        <v>154</v>
      </c>
      <c r="F11" s="2" t="s">
        <v>368</v>
      </c>
      <c r="G11" s="2" t="s">
        <v>138</v>
      </c>
      <c r="H11" s="2" t="s">
        <v>13</v>
      </c>
      <c r="I11" s="2">
        <v>10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4</v>
      </c>
      <c r="AG11" s="2">
        <v>4</v>
      </c>
      <c r="AH11" s="2">
        <v>1</v>
      </c>
      <c r="AI11" s="2">
        <v>1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</row>
    <row r="12" spans="1:61" ht="27.95" customHeight="1" x14ac:dyDescent="0.25">
      <c r="A12" s="2" t="s">
        <v>31</v>
      </c>
      <c r="B12" s="2" t="s">
        <v>155</v>
      </c>
      <c r="C12" s="2" t="s">
        <v>156</v>
      </c>
      <c r="D12" s="2" t="s">
        <v>157</v>
      </c>
      <c r="E12" s="2" t="s">
        <v>158</v>
      </c>
      <c r="F12" s="2" t="s">
        <v>368</v>
      </c>
      <c r="G12" s="2" t="s">
        <v>138</v>
      </c>
      <c r="H12" s="2" t="s">
        <v>13</v>
      </c>
      <c r="I12" s="2">
        <v>10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3</v>
      </c>
      <c r="AI12" s="2">
        <v>3</v>
      </c>
      <c r="AJ12" s="2">
        <v>2</v>
      </c>
      <c r="AK12" s="2">
        <v>1</v>
      </c>
      <c r="AL12" s="2">
        <v>1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</row>
    <row r="13" spans="1:61" ht="27.95" customHeight="1" x14ac:dyDescent="0.25">
      <c r="A13" s="2" t="s">
        <v>34</v>
      </c>
      <c r="B13" s="2" t="s">
        <v>159</v>
      </c>
      <c r="C13" s="2" t="s">
        <v>160</v>
      </c>
      <c r="D13" s="2" t="s">
        <v>161</v>
      </c>
      <c r="E13" s="2" t="s">
        <v>162</v>
      </c>
      <c r="F13" s="2" t="s">
        <v>368</v>
      </c>
      <c r="G13" s="2" t="s">
        <v>163</v>
      </c>
      <c r="H13" s="2" t="s">
        <v>13</v>
      </c>
      <c r="I13" s="2">
        <v>8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2</v>
      </c>
      <c r="AK13" s="2">
        <v>2</v>
      </c>
      <c r="AL13" s="2">
        <v>2</v>
      </c>
      <c r="AM13" s="2">
        <v>2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</row>
    <row r="14" spans="1:61" ht="27.95" customHeight="1" x14ac:dyDescent="0.25">
      <c r="A14" s="2" t="s">
        <v>37</v>
      </c>
      <c r="B14" s="2" t="s">
        <v>164</v>
      </c>
      <c r="C14" s="2" t="s">
        <v>165</v>
      </c>
      <c r="D14" s="2" t="s">
        <v>166</v>
      </c>
      <c r="E14" s="2" t="s">
        <v>167</v>
      </c>
      <c r="F14" s="2" t="s">
        <v>368</v>
      </c>
      <c r="G14" s="2" t="s">
        <v>168</v>
      </c>
      <c r="H14" s="2" t="s">
        <v>13</v>
      </c>
      <c r="I14" s="2">
        <v>12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1</v>
      </c>
      <c r="AL14" s="2">
        <v>1</v>
      </c>
      <c r="AM14" s="2">
        <v>2</v>
      </c>
      <c r="AN14" s="2">
        <v>4</v>
      </c>
      <c r="AO14" s="2">
        <v>4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</row>
    <row r="15" spans="1:61" ht="27.95" customHeight="1" x14ac:dyDescent="0.25">
      <c r="A15" s="2" t="s">
        <v>40</v>
      </c>
      <c r="B15" s="2" t="s">
        <v>169</v>
      </c>
      <c r="C15" s="2" t="s">
        <v>170</v>
      </c>
      <c r="D15" s="2" t="s">
        <v>171</v>
      </c>
      <c r="E15" s="2" t="s">
        <v>172</v>
      </c>
      <c r="F15" s="2" t="s">
        <v>368</v>
      </c>
      <c r="G15" s="2" t="s">
        <v>173</v>
      </c>
      <c r="H15" s="2" t="s">
        <v>13</v>
      </c>
      <c r="I15" s="2">
        <v>12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3</v>
      </c>
      <c r="AQ15" s="2">
        <v>3</v>
      </c>
      <c r="AR15" s="2">
        <v>3</v>
      </c>
      <c r="AS15" s="2">
        <v>2</v>
      </c>
      <c r="AT15" s="2">
        <v>1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</row>
    <row r="16" spans="1:61" ht="27.95" customHeight="1" x14ac:dyDescent="0.25">
      <c r="A16" s="2" t="s">
        <v>42</v>
      </c>
      <c r="B16" s="2" t="s">
        <v>174</v>
      </c>
      <c r="C16" s="2" t="s">
        <v>175</v>
      </c>
      <c r="D16" s="2" t="s">
        <v>176</v>
      </c>
      <c r="E16" s="2" t="s">
        <v>177</v>
      </c>
      <c r="F16" s="2" t="s">
        <v>368</v>
      </c>
      <c r="G16" s="2" t="s">
        <v>178</v>
      </c>
      <c r="H16" s="2" t="s">
        <v>13</v>
      </c>
      <c r="I16" s="2">
        <v>10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2</v>
      </c>
      <c r="AT16" s="2">
        <v>3</v>
      </c>
      <c r="AU16" s="2">
        <v>3</v>
      </c>
      <c r="AV16" s="2">
        <v>2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</row>
    <row r="17" spans="1:61" ht="27.95" customHeight="1" x14ac:dyDescent="0.25">
      <c r="A17" s="2" t="s">
        <v>45</v>
      </c>
      <c r="B17" s="2" t="s">
        <v>179</v>
      </c>
      <c r="C17" s="2" t="s">
        <v>180</v>
      </c>
      <c r="D17" s="2" t="s">
        <v>177</v>
      </c>
      <c r="E17" s="2" t="s">
        <v>181</v>
      </c>
      <c r="F17" s="2" t="s">
        <v>368</v>
      </c>
      <c r="G17" s="2" t="s">
        <v>182</v>
      </c>
      <c r="H17" s="2" t="s">
        <v>13</v>
      </c>
      <c r="I17" s="2">
        <v>10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2</v>
      </c>
      <c r="AW17" s="2">
        <v>2</v>
      </c>
      <c r="AX17" s="2">
        <v>2</v>
      </c>
      <c r="AY17" s="2">
        <v>2</v>
      </c>
      <c r="AZ17" s="2">
        <v>2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</row>
    <row r="18" spans="1:61" ht="27.95" customHeight="1" x14ac:dyDescent="0.25">
      <c r="A18" s="2" t="s">
        <v>48</v>
      </c>
      <c r="B18" s="2" t="s">
        <v>183</v>
      </c>
      <c r="C18" s="2" t="s">
        <v>184</v>
      </c>
      <c r="D18" s="2" t="s">
        <v>185</v>
      </c>
      <c r="E18" s="2" t="s">
        <v>186</v>
      </c>
      <c r="F18" s="2" t="s">
        <v>368</v>
      </c>
      <c r="G18" s="2" t="s">
        <v>187</v>
      </c>
      <c r="H18" s="2" t="s">
        <v>13</v>
      </c>
      <c r="I18" s="2">
        <v>8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2</v>
      </c>
      <c r="AY18" s="2">
        <v>2</v>
      </c>
      <c r="AZ18" s="2">
        <v>1</v>
      </c>
      <c r="BA18" s="2">
        <v>2</v>
      </c>
      <c r="BB18" s="2">
        <v>1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</row>
    <row r="19" spans="1:61" ht="27.95" customHeight="1" x14ac:dyDescent="0.25">
      <c r="A19" s="2" t="s">
        <v>48</v>
      </c>
      <c r="B19" s="2" t="s">
        <v>188</v>
      </c>
      <c r="C19" s="2" t="s">
        <v>189</v>
      </c>
      <c r="D19" s="2" t="s">
        <v>190</v>
      </c>
      <c r="E19" s="2" t="s">
        <v>191</v>
      </c>
      <c r="F19" s="2" t="s">
        <v>368</v>
      </c>
      <c r="G19" s="2" t="s">
        <v>192</v>
      </c>
      <c r="H19" s="2" t="s">
        <v>13</v>
      </c>
      <c r="I19" s="2">
        <v>12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2</v>
      </c>
      <c r="BD19" s="2">
        <v>2</v>
      </c>
      <c r="BE19" s="2">
        <v>1</v>
      </c>
      <c r="BF19" s="2">
        <v>2</v>
      </c>
      <c r="BG19" s="2">
        <v>2</v>
      </c>
      <c r="BH19" s="2">
        <v>3</v>
      </c>
      <c r="BI19" s="2">
        <v>0</v>
      </c>
    </row>
    <row r="20" spans="1:61" x14ac:dyDescent="0.25">
      <c r="A20" s="4" t="s">
        <v>193</v>
      </c>
      <c r="B20" s="5"/>
      <c r="C20" s="5"/>
      <c r="D20" s="5"/>
      <c r="E20" s="5"/>
      <c r="F20" s="5"/>
      <c r="G20" s="5"/>
      <c r="H20" s="5"/>
      <c r="I20" s="6">
        <f t="shared" ref="I20:AN20" si="0">SUM(I2:I19)</f>
        <v>171</v>
      </c>
      <c r="J20" s="7">
        <f t="shared" si="0"/>
        <v>3</v>
      </c>
      <c r="K20" s="7">
        <f t="shared" si="0"/>
        <v>3</v>
      </c>
      <c r="L20" s="7">
        <f t="shared" si="0"/>
        <v>3</v>
      </c>
      <c r="M20" s="7">
        <f t="shared" si="0"/>
        <v>4</v>
      </c>
      <c r="N20" s="7">
        <f t="shared" si="0"/>
        <v>5</v>
      </c>
      <c r="O20" s="7">
        <f t="shared" si="0"/>
        <v>4</v>
      </c>
      <c r="P20" s="7">
        <f t="shared" si="0"/>
        <v>5</v>
      </c>
      <c r="Q20" s="7">
        <f t="shared" si="0"/>
        <v>4</v>
      </c>
      <c r="R20" s="7">
        <f t="shared" si="0"/>
        <v>4</v>
      </c>
      <c r="S20" s="7">
        <f t="shared" si="0"/>
        <v>4</v>
      </c>
      <c r="T20" s="7">
        <f t="shared" si="0"/>
        <v>3</v>
      </c>
      <c r="U20" s="7">
        <f t="shared" si="0"/>
        <v>2</v>
      </c>
      <c r="V20" s="7">
        <f t="shared" si="0"/>
        <v>3</v>
      </c>
      <c r="W20" s="7">
        <f t="shared" si="0"/>
        <v>3</v>
      </c>
      <c r="X20" s="7">
        <f t="shared" si="0"/>
        <v>3</v>
      </c>
      <c r="Y20" s="7">
        <f t="shared" si="0"/>
        <v>4</v>
      </c>
      <c r="Z20" s="7">
        <f t="shared" si="0"/>
        <v>4</v>
      </c>
      <c r="AA20" s="7">
        <f t="shared" si="0"/>
        <v>4</v>
      </c>
      <c r="AB20" s="7">
        <f t="shared" si="0"/>
        <v>4</v>
      </c>
      <c r="AC20" s="7">
        <f t="shared" si="0"/>
        <v>4</v>
      </c>
      <c r="AD20" s="7">
        <f t="shared" si="0"/>
        <v>3</v>
      </c>
      <c r="AE20" s="7">
        <f t="shared" si="0"/>
        <v>3</v>
      </c>
      <c r="AF20" s="7">
        <f t="shared" si="0"/>
        <v>4</v>
      </c>
      <c r="AG20" s="7">
        <f t="shared" si="0"/>
        <v>4</v>
      </c>
      <c r="AH20" s="7">
        <f t="shared" si="0"/>
        <v>4</v>
      </c>
      <c r="AI20" s="7">
        <f t="shared" si="0"/>
        <v>4</v>
      </c>
      <c r="AJ20" s="7">
        <f t="shared" si="0"/>
        <v>4</v>
      </c>
      <c r="AK20" s="7">
        <f t="shared" si="0"/>
        <v>4</v>
      </c>
      <c r="AL20" s="7">
        <f t="shared" si="0"/>
        <v>4</v>
      </c>
      <c r="AM20" s="7">
        <f t="shared" si="0"/>
        <v>4</v>
      </c>
      <c r="AN20" s="7">
        <f t="shared" si="0"/>
        <v>4</v>
      </c>
      <c r="AO20" s="7">
        <f t="shared" ref="AO20:BT20" si="1">SUM(AO2:AO19)</f>
        <v>4</v>
      </c>
      <c r="AP20" s="7">
        <f t="shared" si="1"/>
        <v>3</v>
      </c>
      <c r="AQ20" s="7">
        <f t="shared" si="1"/>
        <v>3</v>
      </c>
      <c r="AR20" s="7">
        <f t="shared" si="1"/>
        <v>3</v>
      </c>
      <c r="AS20" s="7">
        <f t="shared" si="1"/>
        <v>4</v>
      </c>
      <c r="AT20" s="7">
        <f t="shared" si="1"/>
        <v>4</v>
      </c>
      <c r="AU20" s="7">
        <f t="shared" si="1"/>
        <v>3</v>
      </c>
      <c r="AV20" s="7">
        <f t="shared" si="1"/>
        <v>4</v>
      </c>
      <c r="AW20" s="7">
        <f t="shared" si="1"/>
        <v>2</v>
      </c>
      <c r="AX20" s="7">
        <f t="shared" si="1"/>
        <v>4</v>
      </c>
      <c r="AY20" s="7">
        <f t="shared" si="1"/>
        <v>4</v>
      </c>
      <c r="AZ20" s="7">
        <f t="shared" si="1"/>
        <v>3</v>
      </c>
      <c r="BA20" s="7">
        <f t="shared" si="1"/>
        <v>2</v>
      </c>
      <c r="BB20" s="7">
        <f t="shared" si="1"/>
        <v>1</v>
      </c>
      <c r="BC20" s="7">
        <f t="shared" si="1"/>
        <v>2</v>
      </c>
      <c r="BD20" s="7">
        <f t="shared" si="1"/>
        <v>2</v>
      </c>
      <c r="BE20" s="7">
        <f t="shared" si="1"/>
        <v>1</v>
      </c>
      <c r="BF20" s="7">
        <f t="shared" si="1"/>
        <v>2</v>
      </c>
      <c r="BG20" s="7">
        <f t="shared" si="1"/>
        <v>2</v>
      </c>
      <c r="BH20" s="7">
        <f t="shared" si="1"/>
        <v>3</v>
      </c>
      <c r="BI20" s="7">
        <f t="shared" si="1"/>
        <v>0</v>
      </c>
    </row>
  </sheetData>
  <pageMargins left="0.3" right="0.3" top="0.4" bottom="0.4" header="0.2" footer="0.2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3" customWidth="1"/>
    <col min="3" max="3" width="62" customWidth="1"/>
    <col min="4" max="4" width="55" customWidth="1"/>
  </cols>
  <sheetData>
    <row r="1" spans="1:4" ht="42" customHeight="1" x14ac:dyDescent="0.25">
      <c r="A1" s="8" t="s">
        <v>194</v>
      </c>
      <c r="B1" s="8" t="s">
        <v>195</v>
      </c>
      <c r="C1" s="8" t="s">
        <v>196</v>
      </c>
      <c r="D1" s="8" t="s">
        <v>197</v>
      </c>
    </row>
    <row r="2" spans="1:4" ht="39.950000000000003" customHeight="1" x14ac:dyDescent="0.25">
      <c r="A2" s="2" t="s">
        <v>8</v>
      </c>
      <c r="B2" s="2" t="s">
        <v>114</v>
      </c>
      <c r="C2" s="2" t="s">
        <v>198</v>
      </c>
      <c r="D2" s="2" t="s">
        <v>199</v>
      </c>
    </row>
    <row r="3" spans="1:4" ht="39.950000000000003" customHeight="1" x14ac:dyDescent="0.25">
      <c r="A3" s="2" t="s">
        <v>8</v>
      </c>
      <c r="B3" s="2" t="s">
        <v>200</v>
      </c>
      <c r="C3" s="2" t="s">
        <v>201</v>
      </c>
      <c r="D3" s="2" t="s">
        <v>202</v>
      </c>
    </row>
    <row r="4" spans="1:4" ht="39.950000000000003" customHeight="1" x14ac:dyDescent="0.25">
      <c r="A4" s="2" t="s">
        <v>8</v>
      </c>
      <c r="B4" s="2" t="s">
        <v>128</v>
      </c>
      <c r="C4" s="2" t="s">
        <v>203</v>
      </c>
      <c r="D4" s="2" t="s">
        <v>204</v>
      </c>
    </row>
    <row r="5" spans="1:4" ht="39.950000000000003" customHeight="1" x14ac:dyDescent="0.25">
      <c r="A5" s="2" t="s">
        <v>8</v>
      </c>
      <c r="B5" s="2" t="s">
        <v>132</v>
      </c>
      <c r="C5" s="2" t="s">
        <v>205</v>
      </c>
      <c r="D5" s="2" t="s">
        <v>206</v>
      </c>
    </row>
    <row r="6" spans="1:4" ht="39.950000000000003" customHeight="1" x14ac:dyDescent="0.25">
      <c r="A6" s="2" t="s">
        <v>18</v>
      </c>
      <c r="B6" s="2" t="s">
        <v>207</v>
      </c>
      <c r="C6" s="2" t="s">
        <v>208</v>
      </c>
      <c r="D6" s="2" t="s">
        <v>209</v>
      </c>
    </row>
    <row r="7" spans="1:4" ht="39.950000000000003" customHeight="1" x14ac:dyDescent="0.25">
      <c r="A7" s="2" t="s">
        <v>18</v>
      </c>
      <c r="B7" s="2" t="s">
        <v>145</v>
      </c>
      <c r="C7" s="2" t="s">
        <v>210</v>
      </c>
      <c r="D7" s="2" t="s">
        <v>211</v>
      </c>
    </row>
    <row r="8" spans="1:4" ht="39.950000000000003" customHeight="1" x14ac:dyDescent="0.25">
      <c r="A8" s="2" t="s">
        <v>18</v>
      </c>
      <c r="B8" s="2" t="s">
        <v>149</v>
      </c>
      <c r="C8" s="2" t="s">
        <v>212</v>
      </c>
      <c r="D8" s="2" t="s">
        <v>213</v>
      </c>
    </row>
    <row r="9" spans="1:4" ht="39.950000000000003" customHeight="1" x14ac:dyDescent="0.25">
      <c r="A9" s="2" t="s">
        <v>18</v>
      </c>
      <c r="B9" s="2" t="s">
        <v>150</v>
      </c>
      <c r="C9" s="2" t="s">
        <v>214</v>
      </c>
      <c r="D9" s="2" t="s">
        <v>215</v>
      </c>
    </row>
    <row r="10" spans="1:4" ht="39.950000000000003" customHeight="1" x14ac:dyDescent="0.25">
      <c r="A10" s="2" t="s">
        <v>27</v>
      </c>
      <c r="B10" s="2" t="s">
        <v>157</v>
      </c>
      <c r="C10" s="2" t="s">
        <v>216</v>
      </c>
      <c r="D10" s="2" t="s">
        <v>217</v>
      </c>
    </row>
    <row r="11" spans="1:4" ht="39.950000000000003" customHeight="1" x14ac:dyDescent="0.25">
      <c r="A11" s="2" t="s">
        <v>27</v>
      </c>
      <c r="B11" s="2" t="s">
        <v>161</v>
      </c>
      <c r="C11" s="2" t="s">
        <v>218</v>
      </c>
      <c r="D11" s="2" t="s">
        <v>219</v>
      </c>
    </row>
    <row r="12" spans="1:4" ht="39.950000000000003" customHeight="1" x14ac:dyDescent="0.25">
      <c r="A12" s="2" t="s">
        <v>27</v>
      </c>
      <c r="B12" s="2" t="s">
        <v>162</v>
      </c>
      <c r="C12" s="2" t="s">
        <v>220</v>
      </c>
      <c r="D12" s="2" t="s">
        <v>221</v>
      </c>
    </row>
    <row r="13" spans="1:4" ht="39.950000000000003" customHeight="1" x14ac:dyDescent="0.25">
      <c r="A13" s="2" t="s">
        <v>27</v>
      </c>
      <c r="B13" s="2" t="s">
        <v>167</v>
      </c>
      <c r="C13" s="2" t="s">
        <v>222</v>
      </c>
      <c r="D13" s="2" t="s">
        <v>223</v>
      </c>
    </row>
    <row r="14" spans="1:4" ht="39.950000000000003" customHeight="1" x14ac:dyDescent="0.25">
      <c r="A14" s="2" t="s">
        <v>39</v>
      </c>
      <c r="B14" s="2" t="s">
        <v>224</v>
      </c>
      <c r="C14" s="2" t="s">
        <v>225</v>
      </c>
      <c r="D14" s="2" t="s">
        <v>226</v>
      </c>
    </row>
    <row r="15" spans="1:4" ht="39.950000000000003" customHeight="1" x14ac:dyDescent="0.25">
      <c r="A15" s="2" t="s">
        <v>39</v>
      </c>
      <c r="B15" s="2" t="s">
        <v>172</v>
      </c>
      <c r="C15" s="2" t="s">
        <v>227</v>
      </c>
      <c r="D15" s="2" t="s">
        <v>228</v>
      </c>
    </row>
    <row r="16" spans="1:4" ht="39.950000000000003" customHeight="1" x14ac:dyDescent="0.25">
      <c r="A16" s="2" t="s">
        <v>39</v>
      </c>
      <c r="B16" s="2" t="s">
        <v>177</v>
      </c>
      <c r="C16" s="2" t="s">
        <v>229</v>
      </c>
      <c r="D16" s="2" t="s">
        <v>230</v>
      </c>
    </row>
    <row r="17" spans="1:4" ht="39.950000000000003" customHeight="1" x14ac:dyDescent="0.25">
      <c r="A17" s="2" t="s">
        <v>39</v>
      </c>
      <c r="B17" s="2" t="s">
        <v>181</v>
      </c>
      <c r="C17" s="2" t="s">
        <v>231</v>
      </c>
      <c r="D17" s="2" t="s">
        <v>232</v>
      </c>
    </row>
    <row r="18" spans="1:4" ht="39.950000000000003" customHeight="1" x14ac:dyDescent="0.25">
      <c r="A18" s="2" t="s">
        <v>39</v>
      </c>
      <c r="B18" s="2" t="s">
        <v>190</v>
      </c>
      <c r="C18" s="2" t="s">
        <v>233</v>
      </c>
      <c r="D18" s="2" t="s">
        <v>234</v>
      </c>
    </row>
    <row r="19" spans="1:4" ht="39.950000000000003" customHeight="1" x14ac:dyDescent="0.25">
      <c r="A19" s="2" t="s">
        <v>39</v>
      </c>
      <c r="B19" s="2" t="s">
        <v>191</v>
      </c>
      <c r="C19" s="2" t="s">
        <v>235</v>
      </c>
      <c r="D19" s="2" t="s">
        <v>236</v>
      </c>
    </row>
  </sheetData>
  <pageMargins left="0.3" right="0.3" top="0.4" bottom="0.4" header="0.2" footer="0.2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"/>
  <sheetViews>
    <sheetView workbookViewId="0">
      <pane ySplit="1" topLeftCell="A2" activePane="bottomLeft" state="frozen"/>
      <selection pane="bottomLeft" activeCell="B5" sqref="B5"/>
    </sheetView>
  </sheetViews>
  <sheetFormatPr defaultRowHeight="15" x14ac:dyDescent="0.25"/>
  <cols>
    <col min="1" max="2" width="12" customWidth="1"/>
    <col min="3" max="5" width="32" customWidth="1"/>
    <col min="6" max="6" width="40" customWidth="1"/>
  </cols>
  <sheetData>
    <row r="1" spans="1:6" ht="42" customHeight="1" x14ac:dyDescent="0.25">
      <c r="A1" s="9" t="s">
        <v>237</v>
      </c>
      <c r="B1" s="9" t="s">
        <v>56</v>
      </c>
      <c r="C1" s="9" t="s">
        <v>238</v>
      </c>
      <c r="D1" s="9" t="s">
        <v>239</v>
      </c>
      <c r="E1" s="9" t="s">
        <v>240</v>
      </c>
      <c r="F1" s="9" t="s">
        <v>197</v>
      </c>
    </row>
    <row r="2" spans="1:6" ht="69.95" customHeight="1" x14ac:dyDescent="0.25">
      <c r="A2" s="2" t="s">
        <v>8</v>
      </c>
      <c r="B2" s="2" t="s">
        <v>368</v>
      </c>
      <c r="C2" s="2" t="s">
        <v>241</v>
      </c>
      <c r="D2" s="2" t="s">
        <v>242</v>
      </c>
      <c r="E2" s="2" t="s">
        <v>243</v>
      </c>
      <c r="F2" s="2" t="s">
        <v>244</v>
      </c>
    </row>
    <row r="3" spans="1:6" ht="69.95" customHeight="1" x14ac:dyDescent="0.25">
      <c r="A3" s="2" t="s">
        <v>18</v>
      </c>
      <c r="B3" s="2" t="s">
        <v>368</v>
      </c>
      <c r="C3" s="2" t="s">
        <v>245</v>
      </c>
      <c r="D3" s="2" t="s">
        <v>246</v>
      </c>
      <c r="E3" s="2" t="s">
        <v>247</v>
      </c>
      <c r="F3" s="2" t="s">
        <v>248</v>
      </c>
    </row>
    <row r="4" spans="1:6" ht="69.95" customHeight="1" x14ac:dyDescent="0.25">
      <c r="A4" s="2" t="s">
        <v>27</v>
      </c>
      <c r="B4" s="2" t="s">
        <v>368</v>
      </c>
      <c r="C4" s="2" t="s">
        <v>249</v>
      </c>
      <c r="D4" s="2" t="s">
        <v>250</v>
      </c>
      <c r="E4" s="2" t="s">
        <v>251</v>
      </c>
      <c r="F4" s="2" t="s">
        <v>252</v>
      </c>
    </row>
    <row r="5" spans="1:6" ht="69.95" customHeight="1" x14ac:dyDescent="0.25">
      <c r="A5" s="2" t="s">
        <v>39</v>
      </c>
      <c r="B5" s="2" t="s">
        <v>368</v>
      </c>
      <c r="C5" s="2" t="s">
        <v>253</v>
      </c>
      <c r="D5" s="2" t="s">
        <v>254</v>
      </c>
      <c r="E5" s="2" t="s">
        <v>255</v>
      </c>
      <c r="F5" s="2" t="s">
        <v>256</v>
      </c>
    </row>
  </sheetData>
  <pageMargins left="0.3" right="0.3" top="0.4" bottom="0.4" header="0.2" footer="0.2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9"/>
  <sheetViews>
    <sheetView workbookViewId="0">
      <pane ySplit="1" topLeftCell="A8" activePane="bottomLeft" state="frozen"/>
      <selection pane="bottomLeft" activeCell="F2" sqref="F2"/>
    </sheetView>
  </sheetViews>
  <sheetFormatPr defaultRowHeight="15" x14ac:dyDescent="0.25"/>
  <cols>
    <col min="1" max="1" width="6" customWidth="1"/>
    <col min="2" max="2" width="13" customWidth="1"/>
    <col min="3" max="3" width="14" customWidth="1"/>
    <col min="4" max="4" width="42" customWidth="1"/>
    <col min="5" max="5" width="15" customWidth="1"/>
    <col min="6" max="6" width="12" customWidth="1"/>
    <col min="7" max="7" width="14" customWidth="1"/>
    <col min="8" max="8" width="42" customWidth="1"/>
    <col min="9" max="9" width="15" customWidth="1"/>
    <col min="10" max="10" width="14" customWidth="1"/>
    <col min="11" max="11" width="32" customWidth="1"/>
  </cols>
  <sheetData>
    <row r="1" spans="1:11" ht="42" customHeight="1" x14ac:dyDescent="0.25">
      <c r="A1" s="10" t="s">
        <v>257</v>
      </c>
      <c r="B1" s="10" t="s">
        <v>258</v>
      </c>
      <c r="C1" s="10" t="s">
        <v>259</v>
      </c>
      <c r="D1" s="10" t="s">
        <v>260</v>
      </c>
      <c r="E1" s="10" t="s">
        <v>261</v>
      </c>
      <c r="F1" s="10" t="s">
        <v>262</v>
      </c>
      <c r="G1" s="10" t="s">
        <v>263</v>
      </c>
      <c r="H1" s="10" t="s">
        <v>197</v>
      </c>
      <c r="I1" s="10" t="s">
        <v>264</v>
      </c>
      <c r="J1" s="10" t="s">
        <v>265</v>
      </c>
      <c r="K1" s="10" t="s">
        <v>266</v>
      </c>
    </row>
    <row r="2" spans="1:11" ht="54.95" customHeight="1" x14ac:dyDescent="0.25">
      <c r="A2" s="2">
        <v>1</v>
      </c>
      <c r="B2" s="2" t="s">
        <v>368</v>
      </c>
      <c r="C2" s="2" t="s">
        <v>128</v>
      </c>
      <c r="D2" s="2" t="s">
        <v>267</v>
      </c>
      <c r="E2" s="2" t="s">
        <v>8</v>
      </c>
      <c r="F2" s="2" t="s">
        <v>368</v>
      </c>
      <c r="G2" s="2" t="s">
        <v>268</v>
      </c>
      <c r="H2" s="2" t="s">
        <v>269</v>
      </c>
      <c r="I2" s="2" t="s">
        <v>132</v>
      </c>
      <c r="J2" s="2" t="s">
        <v>270</v>
      </c>
      <c r="K2" s="2" t="s">
        <v>271</v>
      </c>
    </row>
    <row r="3" spans="1:11" ht="54.95" customHeight="1" x14ac:dyDescent="0.25">
      <c r="A3" s="2">
        <v>2</v>
      </c>
      <c r="B3" s="2" t="s">
        <v>368</v>
      </c>
      <c r="C3" s="2" t="s">
        <v>128</v>
      </c>
      <c r="D3" s="2" t="s">
        <v>203</v>
      </c>
      <c r="E3" s="2" t="s">
        <v>8</v>
      </c>
      <c r="F3" s="2" t="s">
        <v>368</v>
      </c>
      <c r="G3" s="2" t="s">
        <v>272</v>
      </c>
      <c r="H3" s="2" t="s">
        <v>273</v>
      </c>
      <c r="I3" s="2" t="s">
        <v>132</v>
      </c>
      <c r="J3" s="2" t="s">
        <v>270</v>
      </c>
      <c r="K3" s="2" t="s">
        <v>274</v>
      </c>
    </row>
    <row r="4" spans="1:11" ht="54.95" customHeight="1" x14ac:dyDescent="0.25">
      <c r="A4" s="2">
        <v>3</v>
      </c>
      <c r="B4" s="2" t="s">
        <v>368</v>
      </c>
      <c r="C4" s="2" t="s">
        <v>275</v>
      </c>
      <c r="D4" s="2" t="s">
        <v>276</v>
      </c>
      <c r="E4" s="2" t="s">
        <v>18</v>
      </c>
      <c r="F4" s="2" t="s">
        <v>368</v>
      </c>
      <c r="G4" s="2" t="s">
        <v>277</v>
      </c>
      <c r="H4" s="2" t="s">
        <v>278</v>
      </c>
      <c r="I4" s="2" t="s">
        <v>142</v>
      </c>
      <c r="J4" s="2" t="s">
        <v>270</v>
      </c>
      <c r="K4" s="2" t="s">
        <v>279</v>
      </c>
    </row>
    <row r="5" spans="1:11" ht="54.95" customHeight="1" x14ac:dyDescent="0.25">
      <c r="A5" s="2">
        <v>4</v>
      </c>
      <c r="B5" s="2" t="s">
        <v>368</v>
      </c>
      <c r="C5" s="2" t="s">
        <v>161</v>
      </c>
      <c r="D5" s="2" t="s">
        <v>280</v>
      </c>
      <c r="E5" s="2" t="s">
        <v>27</v>
      </c>
      <c r="F5" s="2" t="s">
        <v>368</v>
      </c>
      <c r="G5" s="2" t="s">
        <v>268</v>
      </c>
      <c r="H5" s="2" t="s">
        <v>281</v>
      </c>
      <c r="I5" s="2" t="s">
        <v>166</v>
      </c>
      <c r="J5" s="2" t="s">
        <v>270</v>
      </c>
      <c r="K5" s="2" t="s">
        <v>282</v>
      </c>
    </row>
    <row r="6" spans="1:11" ht="54.95" customHeight="1" x14ac:dyDescent="0.25">
      <c r="A6" s="2">
        <v>5</v>
      </c>
      <c r="B6" s="2" t="s">
        <v>368</v>
      </c>
      <c r="C6" s="2" t="s">
        <v>224</v>
      </c>
      <c r="D6" s="2" t="s">
        <v>283</v>
      </c>
      <c r="E6" s="2" t="s">
        <v>39</v>
      </c>
      <c r="F6" s="2" t="s">
        <v>368</v>
      </c>
      <c r="G6" s="2" t="s">
        <v>284</v>
      </c>
      <c r="H6" s="2" t="s">
        <v>226</v>
      </c>
      <c r="I6" s="2" t="s">
        <v>224</v>
      </c>
      <c r="J6" s="2" t="s">
        <v>270</v>
      </c>
      <c r="K6" s="2" t="s">
        <v>285</v>
      </c>
    </row>
    <row r="7" spans="1:11" ht="54.95" customHeight="1" x14ac:dyDescent="0.25">
      <c r="A7" s="2">
        <v>6</v>
      </c>
      <c r="B7" s="2" t="s">
        <v>368</v>
      </c>
      <c r="C7" s="2" t="s">
        <v>172</v>
      </c>
      <c r="D7" s="2" t="s">
        <v>286</v>
      </c>
      <c r="E7" s="2" t="s">
        <v>39</v>
      </c>
      <c r="F7" s="2" t="s">
        <v>368</v>
      </c>
      <c r="G7" s="2" t="s">
        <v>287</v>
      </c>
      <c r="H7" s="2" t="s">
        <v>228</v>
      </c>
      <c r="I7" s="2" t="s">
        <v>172</v>
      </c>
      <c r="J7" s="2" t="s">
        <v>270</v>
      </c>
      <c r="K7" s="2" t="s">
        <v>288</v>
      </c>
    </row>
    <row r="8" spans="1:11" ht="54.95" customHeight="1" x14ac:dyDescent="0.25">
      <c r="A8" s="2">
        <v>7</v>
      </c>
      <c r="B8" s="2" t="s">
        <v>368</v>
      </c>
      <c r="C8" s="2" t="s">
        <v>177</v>
      </c>
      <c r="D8" s="2" t="s">
        <v>289</v>
      </c>
      <c r="E8" s="2" t="s">
        <v>39</v>
      </c>
      <c r="F8" s="2" t="s">
        <v>368</v>
      </c>
      <c r="G8" s="2" t="s">
        <v>290</v>
      </c>
      <c r="H8" s="2" t="s">
        <v>230</v>
      </c>
      <c r="I8" s="2" t="s">
        <v>177</v>
      </c>
      <c r="J8" s="2" t="s">
        <v>270</v>
      </c>
      <c r="K8" s="2" t="s">
        <v>291</v>
      </c>
    </row>
    <row r="9" spans="1:11" ht="54.95" customHeight="1" x14ac:dyDescent="0.25">
      <c r="A9" s="2">
        <v>8</v>
      </c>
      <c r="B9" s="2" t="s">
        <v>368</v>
      </c>
      <c r="C9" s="2" t="s">
        <v>181</v>
      </c>
      <c r="D9" s="2" t="s">
        <v>231</v>
      </c>
      <c r="E9" s="2" t="s">
        <v>39</v>
      </c>
      <c r="F9" s="2" t="s">
        <v>368</v>
      </c>
      <c r="G9" s="2" t="s">
        <v>292</v>
      </c>
      <c r="H9" s="2" t="s">
        <v>232</v>
      </c>
      <c r="I9" s="2" t="s">
        <v>181</v>
      </c>
      <c r="J9" s="2" t="s">
        <v>270</v>
      </c>
      <c r="K9" s="2" t="s">
        <v>293</v>
      </c>
    </row>
  </sheetData>
  <pageMargins left="0.3" right="0.3" top="0.4" bottom="0.4" header="0.2" footer="0.2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26" customWidth="1"/>
    <col min="3" max="3" width="48" customWidth="1"/>
    <col min="4" max="4" width="14" customWidth="1"/>
    <col min="5" max="5" width="30" customWidth="1"/>
    <col min="6" max="6" width="14" customWidth="1"/>
  </cols>
  <sheetData>
    <row r="1" spans="1:6" ht="42" customHeight="1" x14ac:dyDescent="0.25">
      <c r="A1" s="11" t="s">
        <v>294</v>
      </c>
      <c r="B1" s="11" t="s">
        <v>295</v>
      </c>
      <c r="C1" s="11" t="s">
        <v>296</v>
      </c>
      <c r="D1" s="11" t="s">
        <v>297</v>
      </c>
      <c r="E1" s="11" t="s">
        <v>298</v>
      </c>
      <c r="F1" s="11" t="s">
        <v>299</v>
      </c>
    </row>
    <row r="2" spans="1:6" ht="39.950000000000003" customHeight="1" x14ac:dyDescent="0.25">
      <c r="A2" s="2" t="s">
        <v>300</v>
      </c>
      <c r="B2" s="2" t="s">
        <v>301</v>
      </c>
      <c r="C2" s="2" t="s">
        <v>302</v>
      </c>
      <c r="D2" s="2" t="s">
        <v>303</v>
      </c>
      <c r="E2" s="2" t="s">
        <v>304</v>
      </c>
      <c r="F2" s="2" t="s">
        <v>305</v>
      </c>
    </row>
    <row r="3" spans="1:6" ht="39.950000000000003" customHeight="1" x14ac:dyDescent="0.25">
      <c r="A3" s="2" t="s">
        <v>306</v>
      </c>
      <c r="B3" s="2" t="s">
        <v>307</v>
      </c>
      <c r="C3" s="2" t="s">
        <v>308</v>
      </c>
      <c r="D3" s="2" t="s">
        <v>303</v>
      </c>
      <c r="E3" s="2" t="s">
        <v>309</v>
      </c>
      <c r="F3" s="2" t="s">
        <v>305</v>
      </c>
    </row>
    <row r="4" spans="1:6" ht="39.950000000000003" customHeight="1" x14ac:dyDescent="0.25">
      <c r="A4" s="2" t="s">
        <v>310</v>
      </c>
      <c r="B4" s="2" t="s">
        <v>311</v>
      </c>
      <c r="C4" s="2" t="s">
        <v>312</v>
      </c>
      <c r="D4" s="2" t="s">
        <v>303</v>
      </c>
      <c r="E4" s="2" t="s">
        <v>313</v>
      </c>
      <c r="F4" s="2" t="s">
        <v>305</v>
      </c>
    </row>
    <row r="5" spans="1:6" ht="39.950000000000003" customHeight="1" x14ac:dyDescent="0.25">
      <c r="A5" s="2" t="s">
        <v>314</v>
      </c>
      <c r="B5" s="2" t="s">
        <v>315</v>
      </c>
      <c r="C5" s="2" t="s">
        <v>316</v>
      </c>
      <c r="D5" s="2" t="s">
        <v>303</v>
      </c>
      <c r="E5" s="2" t="s">
        <v>317</v>
      </c>
      <c r="F5" s="2" t="s">
        <v>305</v>
      </c>
    </row>
    <row r="6" spans="1:6" ht="39.950000000000003" customHeight="1" x14ac:dyDescent="0.25">
      <c r="A6" s="2" t="s">
        <v>318</v>
      </c>
      <c r="B6" s="2" t="s">
        <v>319</v>
      </c>
      <c r="C6" s="2" t="s">
        <v>320</v>
      </c>
      <c r="D6" s="2" t="s">
        <v>303</v>
      </c>
      <c r="E6" s="2" t="s">
        <v>321</v>
      </c>
      <c r="F6" s="2" t="s">
        <v>305</v>
      </c>
    </row>
    <row r="7" spans="1:6" ht="39.950000000000003" customHeight="1" x14ac:dyDescent="0.25">
      <c r="A7" s="2" t="s">
        <v>322</v>
      </c>
      <c r="B7" s="2" t="s">
        <v>323</v>
      </c>
      <c r="C7" s="2" t="s">
        <v>324</v>
      </c>
      <c r="D7" s="2" t="s">
        <v>303</v>
      </c>
      <c r="E7" s="2" t="s">
        <v>325</v>
      </c>
      <c r="F7" s="2" t="s">
        <v>305</v>
      </c>
    </row>
    <row r="8" spans="1:6" ht="39.950000000000003" customHeight="1" x14ac:dyDescent="0.25">
      <c r="A8" s="2" t="s">
        <v>326</v>
      </c>
      <c r="B8" s="2" t="s">
        <v>327</v>
      </c>
      <c r="C8" s="2" t="s">
        <v>328</v>
      </c>
      <c r="D8" s="2" t="s">
        <v>303</v>
      </c>
      <c r="E8" s="2" t="s">
        <v>329</v>
      </c>
      <c r="F8" s="2" t="s">
        <v>305</v>
      </c>
    </row>
    <row r="9" spans="1:6" ht="39.950000000000003" customHeight="1" x14ac:dyDescent="0.25">
      <c r="A9" s="2" t="s">
        <v>330</v>
      </c>
      <c r="B9" s="2" t="s">
        <v>331</v>
      </c>
      <c r="C9" s="2" t="s">
        <v>332</v>
      </c>
      <c r="D9" s="2" t="s">
        <v>303</v>
      </c>
      <c r="E9" s="2" t="s">
        <v>333</v>
      </c>
      <c r="F9" s="2" t="s">
        <v>305</v>
      </c>
    </row>
    <row r="10" spans="1:6" ht="39.950000000000003" customHeight="1" x14ac:dyDescent="0.25">
      <c r="A10" s="2" t="s">
        <v>334</v>
      </c>
      <c r="B10" s="2" t="s">
        <v>335</v>
      </c>
      <c r="C10" s="2" t="s">
        <v>336</v>
      </c>
      <c r="D10" s="2" t="s">
        <v>337</v>
      </c>
      <c r="E10" s="2" t="s">
        <v>338</v>
      </c>
      <c r="F10" s="2" t="s">
        <v>305</v>
      </c>
    </row>
    <row r="11" spans="1:6" ht="39.950000000000003" customHeight="1" x14ac:dyDescent="0.25">
      <c r="A11" s="2" t="s">
        <v>339</v>
      </c>
      <c r="B11" s="2" t="s">
        <v>340</v>
      </c>
      <c r="C11" s="2" t="s">
        <v>341</v>
      </c>
      <c r="D11" s="2" t="s">
        <v>268</v>
      </c>
      <c r="E11" s="2" t="s">
        <v>342</v>
      </c>
      <c r="F11" s="2" t="s">
        <v>305</v>
      </c>
    </row>
    <row r="12" spans="1:6" ht="39.950000000000003" customHeight="1" x14ac:dyDescent="0.25">
      <c r="A12" s="2" t="s">
        <v>343</v>
      </c>
      <c r="B12" s="2" t="s">
        <v>344</v>
      </c>
      <c r="C12" s="2" t="s">
        <v>345</v>
      </c>
      <c r="D12" s="2" t="s">
        <v>268</v>
      </c>
      <c r="E12" s="2" t="s">
        <v>346</v>
      </c>
      <c r="F12" s="2" t="s">
        <v>305</v>
      </c>
    </row>
    <row r="13" spans="1:6" ht="39.950000000000003" customHeight="1" x14ac:dyDescent="0.25">
      <c r="A13" s="2" t="s">
        <v>347</v>
      </c>
      <c r="B13" s="2" t="s">
        <v>348</v>
      </c>
      <c r="C13" s="2" t="s">
        <v>349</v>
      </c>
      <c r="D13" s="2" t="s">
        <v>284</v>
      </c>
      <c r="E13" s="2" t="s">
        <v>350</v>
      </c>
      <c r="F13" s="2" t="s">
        <v>305</v>
      </c>
    </row>
    <row r="14" spans="1:6" ht="39.950000000000003" customHeight="1" x14ac:dyDescent="0.25">
      <c r="A14" s="2" t="s">
        <v>351</v>
      </c>
      <c r="B14" s="2" t="s">
        <v>352</v>
      </c>
      <c r="C14" s="2" t="s">
        <v>353</v>
      </c>
      <c r="D14" s="2" t="s">
        <v>268</v>
      </c>
      <c r="E14" s="2" t="s">
        <v>354</v>
      </c>
      <c r="F14" s="2" t="s">
        <v>305</v>
      </c>
    </row>
    <row r="15" spans="1:6" ht="39.950000000000003" customHeight="1" x14ac:dyDescent="0.25">
      <c r="A15" s="2" t="s">
        <v>355</v>
      </c>
      <c r="B15" s="2" t="s">
        <v>356</v>
      </c>
      <c r="C15" s="2" t="s">
        <v>357</v>
      </c>
      <c r="D15" s="2" t="s">
        <v>268</v>
      </c>
      <c r="E15" s="2" t="s">
        <v>358</v>
      </c>
      <c r="F15" s="2" t="s">
        <v>305</v>
      </c>
    </row>
    <row r="16" spans="1:6" ht="39.950000000000003" customHeight="1" x14ac:dyDescent="0.25">
      <c r="A16" s="2" t="s">
        <v>359</v>
      </c>
      <c r="B16" s="2" t="s">
        <v>360</v>
      </c>
      <c r="C16" s="2" t="s">
        <v>361</v>
      </c>
      <c r="D16" s="2" t="s">
        <v>337</v>
      </c>
      <c r="E16" s="2" t="s">
        <v>362</v>
      </c>
      <c r="F16" s="2" t="s">
        <v>305</v>
      </c>
    </row>
    <row r="17" spans="1:6" ht="39.950000000000003" customHeight="1" x14ac:dyDescent="0.25">
      <c r="A17" s="2" t="s">
        <v>363</v>
      </c>
      <c r="B17" s="2" t="s">
        <v>364</v>
      </c>
      <c r="C17" s="2" t="s">
        <v>365</v>
      </c>
      <c r="D17" s="2" t="s">
        <v>366</v>
      </c>
      <c r="E17" s="2" t="s">
        <v>367</v>
      </c>
      <c r="F17" s="2" t="s">
        <v>305</v>
      </c>
    </row>
  </sheetData>
  <pageMargins left="0.3" right="0.3" top="0.4" bottom="0.4" header="0.2" footer="0.2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Product Backlog</vt:lpstr>
      <vt:lpstr>Sprint Backlog</vt:lpstr>
      <vt:lpstr>Stand up Meeting</vt:lpstr>
      <vt:lpstr>Retrospection</vt:lpstr>
      <vt:lpstr>Defect Tracker</vt:lpstr>
      <vt:lpstr>Unit Test Plan</vt:lpstr>
      <vt:lpstr>'Defect Tracker'!Print_Titles</vt:lpstr>
      <vt:lpstr>'Product Backlog'!Print_Titles</vt:lpstr>
      <vt:lpstr>Retrospection!Print_Titles</vt:lpstr>
      <vt:lpstr>'Sprint Backlog'!Print_Titles</vt:lpstr>
      <vt:lpstr>'Stand up Meeting'!Print_Titles</vt:lpstr>
      <vt:lpstr>'Unit Test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Shree</cp:lastModifiedBy>
  <dcterms:created xsi:type="dcterms:W3CDTF">2026-08-25T13:55:04Z</dcterms:created>
  <dcterms:modified xsi:type="dcterms:W3CDTF">2026-08-26T04:18:07Z</dcterms:modified>
</cp:coreProperties>
</file>